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bs\My DVA Content\Morning Batch Jul2025\Excel\"/>
    </mc:Choice>
  </mc:AlternateContent>
  <xr:revisionPtr revIDLastSave="0" documentId="13_ncr:1_{1E91C470-FF3D-4EDB-9F5E-89FCF49ADA4D}" xr6:coauthVersionLast="47" xr6:coauthVersionMax="47" xr10:uidLastSave="{00000000-0000-0000-0000-000000000000}"/>
  <bookViews>
    <workbookView xWindow="-108" yWindow="-108" windowWidth="23256" windowHeight="12456" xr2:uid="{2E127383-BA98-415B-8C17-0F74889045B0}"/>
  </bookViews>
  <sheets>
    <sheet name="Emp_Info" sheetId="1" r:id="rId1"/>
    <sheet name="Dep_Info" sheetId="2" r:id="rId2"/>
    <sheet name="Analysis" sheetId="3" r:id="rId3"/>
  </sheets>
  <calcPr calcId="191029"/>
  <pivotCaches>
    <pivotCache cacheId="137" r:id="rId4"/>
    <pivotCache cacheId="140" r:id="rId5"/>
    <pivotCache cacheId="143" r:id="rId6"/>
    <pivotCache cacheId="146" r:id="rId7"/>
    <pivotCache cacheId="203" r:id="rId8"/>
    <pivotCache cacheId="208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_Info_749cc6d3-927f-434c-adb4-cd6a7c102f23" name="Emp_Info" connection="Query - Emp_Info"/>
          <x15:modelTable id="Dep_Info_bc690249-0aa2-4a7e-b6bc-07e22c138d11" name="Dep_Info" connection="Query - Dep_Info"/>
        </x15:modelTables>
        <x15:modelRelationships>
          <x15:modelRelationship fromTable="Emp_Info" fromColumn="Dept_Name" toTable="Dep_Info" toColumn="Dep_Nam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Emp_Info" columnName="New_DoJ" columnId="New_DoJ">
                <x16:calculatedTimeColumn columnName="New_DoJ (Year)" columnId="New_DoJ (Year)" contentType="years" isSelected="1"/>
                <x16:calculatedTimeColumn columnName="New_DoJ (Quarter)" columnId="New_DoJ (Quarter)" contentType="quarters" isSelected="1"/>
                <x16:calculatedTimeColumn columnName="New_DoJ (Month Index)" columnId="New_DoJ (Month Index)" contentType="monthsindex" isSelected="1"/>
                <x16:calculatedTimeColumn columnName="New_DoJ (Month)" columnId="New_DoJ (Month)" contentType="months" isSelected="1"/>
              </x16:modelTimeGrouping>
              <x16:modelTimeGrouping tableName="Emp_Info" columnName="New_Last_Date" columnId="New_Last_Date">
                <x16:calculatedTimeColumn columnName="New_Last_Date (Year)" columnId="New_Last_Date (Year)" contentType="years" isSelected="1"/>
                <x16:calculatedTimeColumn columnName="New_Last_Date (Quarter)" columnId="New_Last_Date (Quarter)" contentType="quarters" isSelected="1"/>
                <x16:calculatedTimeColumn columnName="New_Last_Date (Month Index)" columnId="New_Last_Date (Month Index)" contentType="monthsindex" isSelected="1"/>
                <x16:calculatedTimeColumn columnName="New_Last_Date (Month)" columnId="New_Last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3" i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 s="1"/>
  <c r="S172" i="1" a="1"/>
  <c r="S172" i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2" i="1" a="1"/>
  <c r="S2" i="1" s="1"/>
  <c r="R45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O9" i="3"/>
  <c r="N10" i="3"/>
  <c r="M9" i="3"/>
  <c r="N14" i="3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E60" i="3" l="1"/>
  <c r="M15" i="3"/>
  <c r="H21" i="3"/>
  <c r="M1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42ED4F-ABEF-4A32-9E02-773B048BCC4E}" name="Query - Dep_Info" description="Connection to the 'Dep_Info' query in the workbook." type="100" refreshedVersion="8" minRefreshableVersion="5">
    <extLst>
      <ext xmlns:x15="http://schemas.microsoft.com/office/spreadsheetml/2010/11/main" uri="{DE250136-89BD-433C-8126-D09CA5730AF9}">
        <x15:connection id="8697d0cc-6739-4d70-8871-a31a54264c3b"/>
      </ext>
    </extLst>
  </connection>
  <connection id="2" xr16:uid="{C099449B-6D90-479C-BD4C-605FF85CE621}" name="Query - Emp_Info" description="Connection to the 'Emp_Info' query in the workbook." type="100" refreshedVersion="8" minRefreshableVersion="5">
    <extLst>
      <ext xmlns:x15="http://schemas.microsoft.com/office/spreadsheetml/2010/11/main" uri="{DE250136-89BD-433C-8126-D09CA5730AF9}">
        <x15:connection id="351cf4c0-5401-417e-89dd-2dcbb3c0f904"/>
      </ext>
    </extLst>
  </connection>
  <connection id="3" xr16:uid="{C18ABBD0-987D-412C-B01B-14AB4D67C17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3">
    <s v="ThisWorkbookDataModel"/>
    <s v="{[Emp_Info].[Performance Ratings].&amp;[4],[Emp_Info].[Performance Ratings].&amp;[5]}"/>
    <s v="{[Emp_Info].[New_DoJ (Year)].&amp;[1998],[Emp_Info].[New_DoJ (Year)].&amp;[1999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<sst xmlns="http://schemas.openxmlformats.org/spreadsheetml/2006/main" count="4159" uniqueCount="1356">
  <si>
    <t>Emp_Id</t>
  </si>
  <si>
    <t>DOB</t>
  </si>
  <si>
    <t>first_name</t>
  </si>
  <si>
    <t>last_name</t>
  </si>
  <si>
    <t>Gender</t>
  </si>
  <si>
    <t>DoJ</t>
  </si>
  <si>
    <t>no_of_projects</t>
  </si>
  <si>
    <t>Last_performance_rating</t>
  </si>
  <si>
    <t>Left?</t>
  </si>
  <si>
    <t>last_date</t>
  </si>
  <si>
    <t>Salary</t>
  </si>
  <si>
    <t>Dept_Id</t>
  </si>
  <si>
    <t>Title</t>
  </si>
  <si>
    <t>9/2/1953</t>
  </si>
  <si>
    <t>Georgi</t>
  </si>
  <si>
    <t>Facello</t>
  </si>
  <si>
    <t>M</t>
  </si>
  <si>
    <t>C</t>
  </si>
  <si>
    <t>7/30/1994</t>
  </si>
  <si>
    <t>d005</t>
  </si>
  <si>
    <t>Senior Engineer</t>
  </si>
  <si>
    <t>12/3/1959</t>
  </si>
  <si>
    <t>Parto</t>
  </si>
  <si>
    <t>Bamford</t>
  </si>
  <si>
    <t/>
  </si>
  <si>
    <t>d004</t>
  </si>
  <si>
    <t>5/1/1954</t>
  </si>
  <si>
    <t>Chirstian</t>
  </si>
  <si>
    <t>Koblick</t>
  </si>
  <si>
    <t>A</t>
  </si>
  <si>
    <t>4/20/1953</t>
  </si>
  <si>
    <t>Anneke</t>
  </si>
  <si>
    <t>Preusig</t>
  </si>
  <si>
    <t>F</t>
  </si>
  <si>
    <t>B</t>
  </si>
  <si>
    <t>6/2/1964</t>
  </si>
  <si>
    <t>Bezalel</t>
  </si>
  <si>
    <t>Simmel</t>
  </si>
  <si>
    <t>d007</t>
  </si>
  <si>
    <t>Staff</t>
  </si>
  <si>
    <t>1/21/1955</t>
  </si>
  <si>
    <t>Kyoichi</t>
  </si>
  <si>
    <t>Maliniak</t>
  </si>
  <si>
    <t>d003</t>
  </si>
  <si>
    <t>9/28/1957</t>
  </si>
  <si>
    <t>Xiong</t>
  </si>
  <si>
    <t>Verhoeff</t>
  </si>
  <si>
    <t>1/30/1958</t>
  </si>
  <si>
    <t>Berry</t>
  </si>
  <si>
    <t>Babb</t>
  </si>
  <si>
    <t>Engineer</t>
  </si>
  <si>
    <t>5/23/1957</t>
  </si>
  <si>
    <t>Tzvetan</t>
  </si>
  <si>
    <t>Zielinski</t>
  </si>
  <si>
    <t>9/18/2002</t>
  </si>
  <si>
    <t>d008</t>
  </si>
  <si>
    <t>2/19/1958</t>
  </si>
  <si>
    <t>Saniya</t>
  </si>
  <si>
    <t>Kalloufi</t>
  </si>
  <si>
    <t>Assistant Engineer</t>
  </si>
  <si>
    <t>10/28/1952</t>
  </si>
  <si>
    <t>Abdelkader</t>
  </si>
  <si>
    <t>Baumann</t>
  </si>
  <si>
    <t>d006</t>
  </si>
  <si>
    <t>4/19/1952</t>
  </si>
  <si>
    <t>Sumant</t>
  </si>
  <si>
    <t>Peac</t>
  </si>
  <si>
    <t>6/1/1963</t>
  </si>
  <si>
    <t>Duangkaew</t>
  </si>
  <si>
    <t>Piveteau</t>
  </si>
  <si>
    <t>10/30/1959</t>
  </si>
  <si>
    <t>Eran</t>
  </si>
  <si>
    <t>Cusworth</t>
  </si>
  <si>
    <t>8/21/1993</t>
  </si>
  <si>
    <t>11/7/1953</t>
  </si>
  <si>
    <t>Mary</t>
  </si>
  <si>
    <t>Sluis</t>
  </si>
  <si>
    <t>d009</t>
  </si>
  <si>
    <t>4/14/1957</t>
  </si>
  <si>
    <t>Christoph</t>
  </si>
  <si>
    <t>Parfitt</t>
  </si>
  <si>
    <t>10/4/1960</t>
  </si>
  <si>
    <t>Patricio</t>
  </si>
  <si>
    <t>Bridgland</t>
  </si>
  <si>
    <t>6/7/1963</t>
  </si>
  <si>
    <t>Eberhardt</t>
  </si>
  <si>
    <t>Terkki</t>
  </si>
  <si>
    <t>Senior Staff</t>
  </si>
  <si>
    <t>11/17/1964</t>
  </si>
  <si>
    <t>Xudong</t>
  </si>
  <si>
    <t>Samarati</t>
  </si>
  <si>
    <t>8/21/1994</t>
  </si>
  <si>
    <t>d002</t>
  </si>
  <si>
    <t>2/12/1956</t>
  </si>
  <si>
    <t>Berni</t>
  </si>
  <si>
    <t>Genin</t>
  </si>
  <si>
    <t>8/19/1959</t>
  </si>
  <si>
    <t>Guoxiang</t>
  </si>
  <si>
    <t>Nooteboom</t>
  </si>
  <si>
    <t>5/2/1961</t>
  </si>
  <si>
    <t>Kazuhito</t>
  </si>
  <si>
    <t>Cappelletti</t>
  </si>
  <si>
    <t>7/6/1958</t>
  </si>
  <si>
    <t>Cristinel</t>
  </si>
  <si>
    <t>Bouloucos</t>
  </si>
  <si>
    <t>d001</t>
  </si>
  <si>
    <t>4/24/1956</t>
  </si>
  <si>
    <t>Kwangyoen</t>
  </si>
  <si>
    <t>Speek</t>
  </si>
  <si>
    <t>6/19/1954</t>
  </si>
  <si>
    <t>Kazuhide</t>
  </si>
  <si>
    <t>Peha</t>
  </si>
  <si>
    <t>12/31/1961</t>
  </si>
  <si>
    <t>Shuichi</t>
  </si>
  <si>
    <t>Tyugu</t>
  </si>
  <si>
    <t>PIP</t>
  </si>
  <si>
    <t>1/23/1953</t>
  </si>
  <si>
    <t>Lillian</t>
  </si>
  <si>
    <t>Haddadi</t>
  </si>
  <si>
    <t>12/24/1952</t>
  </si>
  <si>
    <t>Mayuko</t>
  </si>
  <si>
    <t>Warwick</t>
  </si>
  <si>
    <t>10/25/1961</t>
  </si>
  <si>
    <t>Abdulah</t>
  </si>
  <si>
    <t>Lunn</t>
  </si>
  <si>
    <t>8/2/2000</t>
  </si>
  <si>
    <t>2/20/1960</t>
  </si>
  <si>
    <t>Ramzi</t>
  </si>
  <si>
    <t>Erde</t>
  </si>
  <si>
    <t>Technique Leader</t>
  </si>
  <si>
    <t>7/8/1952</t>
  </si>
  <si>
    <t>Shahaf</t>
  </si>
  <si>
    <t>Famili</t>
  </si>
  <si>
    <t>11/4/2005</t>
  </si>
  <si>
    <t>8/30/1961</t>
  </si>
  <si>
    <t>Perry</t>
  </si>
  <si>
    <t>Lorho</t>
  </si>
  <si>
    <t>9/29/1953</t>
  </si>
  <si>
    <t>Bojan</t>
  </si>
  <si>
    <t>Montemayor</t>
  </si>
  <si>
    <t>9/5/1958</t>
  </si>
  <si>
    <t>Suzette</t>
  </si>
  <si>
    <t>Pettey</t>
  </si>
  <si>
    <t>3/23/1958</t>
  </si>
  <si>
    <t>Subbu</t>
  </si>
  <si>
    <t>Bultermann</t>
  </si>
  <si>
    <t>10/31/1958</t>
  </si>
  <si>
    <t>Prasadram</t>
  </si>
  <si>
    <t>Heyers</t>
  </si>
  <si>
    <t>4/3/1953</t>
  </si>
  <si>
    <t>Yongqiao</t>
  </si>
  <si>
    <t>Berztiss</t>
  </si>
  <si>
    <t>5/19/1959</t>
  </si>
  <si>
    <t>Zallocco</t>
  </si>
  <si>
    <t>7/10/1962</t>
  </si>
  <si>
    <t>Divier</t>
  </si>
  <si>
    <t>Reistad</t>
  </si>
  <si>
    <t>11/26/1963</t>
  </si>
  <si>
    <t>Domenick</t>
  </si>
  <si>
    <t>Tempesti</t>
  </si>
  <si>
    <t>7/12/1963</t>
  </si>
  <si>
    <t>Bilhanan</t>
  </si>
  <si>
    <t>Wuwongse</t>
  </si>
  <si>
    <t>12/13/1956</t>
  </si>
  <si>
    <t>Otmar</t>
  </si>
  <si>
    <t>Herbst</t>
  </si>
  <si>
    <t>1/19/1964</t>
  </si>
  <si>
    <t>Venkatesan</t>
  </si>
  <si>
    <t>Gilg</t>
  </si>
  <si>
    <t>7/14/1958</t>
  </si>
  <si>
    <t>Elvis</t>
  </si>
  <si>
    <t>Demeyer</t>
  </si>
  <si>
    <t>1/27/1959</t>
  </si>
  <si>
    <t>Karsten</t>
  </si>
  <si>
    <t>Joslin</t>
  </si>
  <si>
    <t>8/3/1999</t>
  </si>
  <si>
    <t>12/11/1957</t>
  </si>
  <si>
    <t>Naftali</t>
  </si>
  <si>
    <t>Dulli</t>
  </si>
  <si>
    <t>8/9/1960</t>
  </si>
  <si>
    <t>Jeong</t>
  </si>
  <si>
    <t>11/14/1956</t>
  </si>
  <si>
    <t>Arif</t>
  </si>
  <si>
    <t>Merlo</t>
  </si>
  <si>
    <t>8/11/1952</t>
  </si>
  <si>
    <t>Roddy</t>
  </si>
  <si>
    <t>Karnin</t>
  </si>
  <si>
    <t>12/29/1962</t>
  </si>
  <si>
    <t>Bader</t>
  </si>
  <si>
    <t>Swan</t>
  </si>
  <si>
    <t>2/8/1953</t>
  </si>
  <si>
    <t>Alain</t>
  </si>
  <si>
    <t>Chappelet</t>
  </si>
  <si>
    <t>11/25/1958</t>
  </si>
  <si>
    <t>Nevio</t>
  </si>
  <si>
    <t>Demizu</t>
  </si>
  <si>
    <t>8/10/1959</t>
  </si>
  <si>
    <t>Adamantios</t>
  </si>
  <si>
    <t>Portugali</t>
  </si>
  <si>
    <t>7/22/1963</t>
  </si>
  <si>
    <t>Pradeep</t>
  </si>
  <si>
    <t>Makrucki</t>
  </si>
  <si>
    <t>7/20/1960</t>
  </si>
  <si>
    <t>Huan</t>
  </si>
  <si>
    <t>Lortz</t>
  </si>
  <si>
    <t>10/1/1959</t>
  </si>
  <si>
    <t>Alejandro</t>
  </si>
  <si>
    <t>Brender</t>
  </si>
  <si>
    <t>1/15/1963</t>
  </si>
  <si>
    <t>Kellyn</t>
  </si>
  <si>
    <t>Yoshizawa</t>
  </si>
  <si>
    <t>9/13/1959</t>
  </si>
  <si>
    <t>Weiyi</t>
  </si>
  <si>
    <t>Meriste</t>
  </si>
  <si>
    <t>2/9/1959</t>
  </si>
  <si>
    <t>McAlpine</t>
  </si>
  <si>
    <t>8/27/1959</t>
  </si>
  <si>
    <t>Uri</t>
  </si>
  <si>
    <t>Lenart</t>
  </si>
  <si>
    <t>2/26/1956</t>
  </si>
  <si>
    <t>Magy</t>
  </si>
  <si>
    <t>Stamatiou</t>
  </si>
  <si>
    <t>5/3/1957</t>
  </si>
  <si>
    <t>Feixiong</t>
  </si>
  <si>
    <t>Poujol</t>
  </si>
  <si>
    <t>9/19/1960</t>
  </si>
  <si>
    <t>Yishay</t>
  </si>
  <si>
    <t>Tzvieli</t>
  </si>
  <si>
    <t>9/21/1961</t>
  </si>
  <si>
    <t>Mingsen</t>
  </si>
  <si>
    <t>Casley</t>
  </si>
  <si>
    <t>9/19/1964</t>
  </si>
  <si>
    <t>Elliott</t>
  </si>
  <si>
    <t>Perl</t>
  </si>
  <si>
    <t>8/14/1957</t>
  </si>
  <si>
    <t>Moss</t>
  </si>
  <si>
    <t>Shanbhogue</t>
  </si>
  <si>
    <t>7/23/1960</t>
  </si>
  <si>
    <t>Lucien</t>
  </si>
  <si>
    <t>Rosenbaum</t>
  </si>
  <si>
    <t>6/19/1960</t>
  </si>
  <si>
    <t>Theron</t>
  </si>
  <si>
    <t>Escriba</t>
  </si>
  <si>
    <t>6/29/1952</t>
  </si>
  <si>
    <t>Zvonko</t>
  </si>
  <si>
    <t>Nyanchama</t>
  </si>
  <si>
    <t>4/23/1991</t>
  </si>
  <si>
    <t>7/11/1963</t>
  </si>
  <si>
    <t>Florian</t>
  </si>
  <si>
    <t>Syrotiuk</t>
  </si>
  <si>
    <t>10/8/1960</t>
  </si>
  <si>
    <t>Nechama</t>
  </si>
  <si>
    <t>Copas</t>
  </si>
  <si>
    <t>4/24/1961</t>
  </si>
  <si>
    <t>Basil</t>
  </si>
  <si>
    <t>Tramer</t>
  </si>
  <si>
    <t>5/21/1958</t>
  </si>
  <si>
    <t>Yinghua</t>
  </si>
  <si>
    <t>Dredge</t>
  </si>
  <si>
    <t>11/12/1961</t>
  </si>
  <si>
    <t>Mark</t>
  </si>
  <si>
    <t>Cappelli</t>
  </si>
  <si>
    <t>7/28/1953</t>
  </si>
  <si>
    <t>Hidefumi</t>
  </si>
  <si>
    <t>Caine</t>
  </si>
  <si>
    <t>8/15/1953</t>
  </si>
  <si>
    <t>Wonhee</t>
  </si>
  <si>
    <t>Talmon</t>
  </si>
  <si>
    <t>2/26/1961</t>
  </si>
  <si>
    <t>Heping</t>
  </si>
  <si>
    <t>Nitsch</t>
  </si>
  <si>
    <t>9/13/1954</t>
  </si>
  <si>
    <t>Sanjiv</t>
  </si>
  <si>
    <t>Zschoche</t>
  </si>
  <si>
    <t>6/4/1957</t>
  </si>
  <si>
    <t>Ziva</t>
  </si>
  <si>
    <t>Vecchi</t>
  </si>
  <si>
    <t>4/4/1957</t>
  </si>
  <si>
    <t>Mayumi</t>
  </si>
  <si>
    <t>Schueller</t>
  </si>
  <si>
    <t>6/6/1956</t>
  </si>
  <si>
    <t>Georgy</t>
  </si>
  <si>
    <t>10/17/1961</t>
  </si>
  <si>
    <t>Pantung</t>
  </si>
  <si>
    <t>Cools</t>
  </si>
  <si>
    <t>9/1/1961</t>
  </si>
  <si>
    <t>Brendon</t>
  </si>
  <si>
    <t>Bernini</t>
  </si>
  <si>
    <t>5/30/1954</t>
  </si>
  <si>
    <t>Ebbe</t>
  </si>
  <si>
    <t>Callaway</t>
  </si>
  <si>
    <t>S</t>
  </si>
  <si>
    <t>6/25/1964</t>
  </si>
  <si>
    <t>Piyawadee</t>
  </si>
  <si>
    <t>10/1/1954</t>
  </si>
  <si>
    <t>Berhard</t>
  </si>
  <si>
    <t>McFarlin</t>
  </si>
  <si>
    <t>9/19/1953</t>
  </si>
  <si>
    <t>1/11/1953</t>
  </si>
  <si>
    <t>Hairong</t>
  </si>
  <si>
    <t>Schaar</t>
  </si>
  <si>
    <t>10/15/1961</t>
  </si>
  <si>
    <t>Breannda</t>
  </si>
  <si>
    <t>Billingsley</t>
  </si>
  <si>
    <t>7/3/1954</t>
  </si>
  <si>
    <t>Mohit</t>
  </si>
  <si>
    <t>10/19/1962</t>
  </si>
  <si>
    <t>Tse</t>
  </si>
  <si>
    <t>Herber</t>
  </si>
  <si>
    <t>11/2/1961</t>
  </si>
  <si>
    <t>Anoosh</t>
  </si>
  <si>
    <t>Peyn</t>
  </si>
  <si>
    <t>2/16/1993</t>
  </si>
  <si>
    <t>1/2/1953</t>
  </si>
  <si>
    <t>Masali</t>
  </si>
  <si>
    <t>Bakhtari</t>
  </si>
  <si>
    <t>8/6/1952</t>
  </si>
  <si>
    <t>Gino</t>
  </si>
  <si>
    <t>Leonhardt</t>
  </si>
  <si>
    <t>4/7/1959</t>
  </si>
  <si>
    <t>Udi</t>
  </si>
  <si>
    <t>Jansch</t>
  </si>
  <si>
    <t>8/14/1956</t>
  </si>
  <si>
    <t>Christfried</t>
  </si>
  <si>
    <t>Kabayashi</t>
  </si>
  <si>
    <t>4/14/1963</t>
  </si>
  <si>
    <t>Satosi</t>
  </si>
  <si>
    <t>Awdeh</t>
  </si>
  <si>
    <t>11/13/1952</t>
  </si>
  <si>
    <t>Kwee</t>
  </si>
  <si>
    <t>Schusler</t>
  </si>
  <si>
    <t>4/13/1956</t>
  </si>
  <si>
    <t>Urs</t>
  </si>
  <si>
    <t>Saoudi</t>
  </si>
  <si>
    <t>1/7/1953</t>
  </si>
  <si>
    <t>Claudi</t>
  </si>
  <si>
    <t>Stavenow</t>
  </si>
  <si>
    <t>11/26/1962</t>
  </si>
  <si>
    <t>Charlene</t>
  </si>
  <si>
    <t>Brattka</t>
  </si>
  <si>
    <t>8/28/1958</t>
  </si>
  <si>
    <t>Phuoc</t>
  </si>
  <si>
    <t>Antonisse</t>
  </si>
  <si>
    <t>9/6/1960</t>
  </si>
  <si>
    <t>Margareta</t>
  </si>
  <si>
    <t>Bierman</t>
  </si>
  <si>
    <t>8/20/1955</t>
  </si>
  <si>
    <t>Reuven</t>
  </si>
  <si>
    <t>Garigliano</t>
  </si>
  <si>
    <t>5/22/1958</t>
  </si>
  <si>
    <t>Shaunak</t>
  </si>
  <si>
    <t>Pettit</t>
  </si>
  <si>
    <t>11/14/2000</t>
  </si>
  <si>
    <t>1/21/1958</t>
  </si>
  <si>
    <t>Hisao</t>
  </si>
  <si>
    <t>Lipner</t>
  </si>
  <si>
    <t>2/13/1957</t>
  </si>
  <si>
    <t>Chinal</t>
  </si>
  <si>
    <t>5/15/1952</t>
  </si>
  <si>
    <t>Hironoby</t>
  </si>
  <si>
    <t>Sidou</t>
  </si>
  <si>
    <t>2/23/1954</t>
  </si>
  <si>
    <t>Shir</t>
  </si>
  <si>
    <t>McClurg</t>
  </si>
  <si>
    <t>2/14/1960</t>
  </si>
  <si>
    <t>Owen</t>
  </si>
  <si>
    <t>Hiraishi</t>
  </si>
  <si>
    <t>8/28/1955</t>
  </si>
  <si>
    <t>Mokhtar</t>
  </si>
  <si>
    <t>Bernatsky</t>
  </si>
  <si>
    <t>5/22/1995</t>
  </si>
  <si>
    <t>3/9/1960</t>
  </si>
  <si>
    <t>Gao</t>
  </si>
  <si>
    <t>Dolinsky</t>
  </si>
  <si>
    <t>3/6/1952</t>
  </si>
  <si>
    <t>Valette</t>
  </si>
  <si>
    <t>6/13/1952</t>
  </si>
  <si>
    <t>Erez</t>
  </si>
  <si>
    <t>Ritzmann</t>
  </si>
  <si>
    <t>4/18/1964</t>
  </si>
  <si>
    <t>Mona</t>
  </si>
  <si>
    <t>Azuma</t>
  </si>
  <si>
    <t>1/10/1964</t>
  </si>
  <si>
    <t>Mechthild</t>
  </si>
  <si>
    <t>Gihr</t>
  </si>
  <si>
    <t>5/11/2007</t>
  </si>
  <si>
    <t>12/25/1959</t>
  </si>
  <si>
    <t>Danel</t>
  </si>
  <si>
    <t>Mondadori</t>
  </si>
  <si>
    <t>10/5/1961</t>
  </si>
  <si>
    <t>Kshitij</t>
  </si>
  <si>
    <t>Gils</t>
  </si>
  <si>
    <t>2/4/1958</t>
  </si>
  <si>
    <t>Gad</t>
  </si>
  <si>
    <t>Nollmann</t>
  </si>
  <si>
    <t>12/3/1957</t>
  </si>
  <si>
    <t>Premal</t>
  </si>
  <si>
    <t>Baek</t>
  </si>
  <si>
    <t>12/2/1963</t>
  </si>
  <si>
    <t>Shigeu</t>
  </si>
  <si>
    <t>Masamoto</t>
  </si>
  <si>
    <t>12/17/1960</t>
  </si>
  <si>
    <t>Zhongwei</t>
  </si>
  <si>
    <t>Rosen</t>
  </si>
  <si>
    <t>9/9/1963</t>
  </si>
  <si>
    <t>Parviz</t>
  </si>
  <si>
    <t>4/15/2000</t>
  </si>
  <si>
    <t>8/6/1957</t>
  </si>
  <si>
    <t>Gladys</t>
  </si>
  <si>
    <t>Yoshimura</t>
  </si>
  <si>
    <t>7/23/1959</t>
  </si>
  <si>
    <t>Vishv</t>
  </si>
  <si>
    <t>Zockler</t>
  </si>
  <si>
    <t>5/25/1960</t>
  </si>
  <si>
    <t>Tuval</t>
  </si>
  <si>
    <t>1/20/1956</t>
  </si>
  <si>
    <t>Giap</t>
  </si>
  <si>
    <t>Verspoor</t>
  </si>
  <si>
    <t>11/7/1962</t>
  </si>
  <si>
    <t>Kenroku</t>
  </si>
  <si>
    <t>Malabarba</t>
  </si>
  <si>
    <t>11/19/1962</t>
  </si>
  <si>
    <t>Somnath</t>
  </si>
  <si>
    <t>Foote</t>
  </si>
  <si>
    <t>2/15/1964</t>
  </si>
  <si>
    <t>Munehiko</t>
  </si>
  <si>
    <t>Janocha</t>
  </si>
  <si>
    <t>Xinglin</t>
  </si>
  <si>
    <t>Eugenio</t>
  </si>
  <si>
    <t>2/25/1954</t>
  </si>
  <si>
    <t>Jungsoon</t>
  </si>
  <si>
    <t>Syrzycki</t>
  </si>
  <si>
    <t>6/18/1998</t>
  </si>
  <si>
    <t>3/21/1963</t>
  </si>
  <si>
    <t>Sudharsan</t>
  </si>
  <si>
    <t>Flasterstein</t>
  </si>
  <si>
    <t>8/4/1953</t>
  </si>
  <si>
    <t>Shaowen</t>
  </si>
  <si>
    <t>Krone</t>
  </si>
  <si>
    <t>5/30/1961</t>
  </si>
  <si>
    <t>Kendra</t>
  </si>
  <si>
    <t>Hofting</t>
  </si>
  <si>
    <t>10/4/1955</t>
  </si>
  <si>
    <t>Amabile</t>
  </si>
  <si>
    <t>Gomatam</t>
  </si>
  <si>
    <t>3/29/1958</t>
  </si>
  <si>
    <t>Martins</t>
  </si>
  <si>
    <t>Wynblatt</t>
  </si>
  <si>
    <t>10/18/1964</t>
  </si>
  <si>
    <t>Valdiodio</t>
  </si>
  <si>
    <t>Niizuma</t>
  </si>
  <si>
    <t>6/11/1964</t>
  </si>
  <si>
    <t>Sailaja</t>
  </si>
  <si>
    <t>Desikan</t>
  </si>
  <si>
    <t>10/10/1964</t>
  </si>
  <si>
    <t>Basem</t>
  </si>
  <si>
    <t>Imataki</t>
  </si>
  <si>
    <t>5/25/1957</t>
  </si>
  <si>
    <t>Arumugam</t>
  </si>
  <si>
    <t>Ossenbruggen</t>
  </si>
  <si>
    <t>1/3/1965</t>
  </si>
  <si>
    <t>Hilari</t>
  </si>
  <si>
    <t>Morton</t>
  </si>
  <si>
    <t>12/3/1952</t>
  </si>
  <si>
    <t>Zhonghui</t>
  </si>
  <si>
    <t>Gyimothy</t>
  </si>
  <si>
    <t>9/16/1954</t>
  </si>
  <si>
    <t>Jayson</t>
  </si>
  <si>
    <t>Mandell</t>
  </si>
  <si>
    <t>2/27/1952</t>
  </si>
  <si>
    <t>Remzi</t>
  </si>
  <si>
    <t>Waschkowski</t>
  </si>
  <si>
    <t>9/23/1961</t>
  </si>
  <si>
    <t>Sreekrishna</t>
  </si>
  <si>
    <t>Servieres</t>
  </si>
  <si>
    <t>12/2/1964</t>
  </si>
  <si>
    <t>Karoline</t>
  </si>
  <si>
    <t>Matzov</t>
  </si>
  <si>
    <t>5/25/1956</t>
  </si>
  <si>
    <t>Valter</t>
  </si>
  <si>
    <t>Sullins</t>
  </si>
  <si>
    <t>4/21/1953</t>
  </si>
  <si>
    <t>Hironobu</t>
  </si>
  <si>
    <t>Haraldson</t>
  </si>
  <si>
    <t>Rosalie</t>
  </si>
  <si>
    <t>Rousseau</t>
  </si>
  <si>
    <t>4/15/1952</t>
  </si>
  <si>
    <t>Perla</t>
  </si>
  <si>
    <t>11/4/1959</t>
  </si>
  <si>
    <t>Paraskevi</t>
  </si>
  <si>
    <t>Luby</t>
  </si>
  <si>
    <t>1/15/2003</t>
  </si>
  <si>
    <t>8/25/1960</t>
  </si>
  <si>
    <t>Masoud</t>
  </si>
  <si>
    <t>Peroz</t>
  </si>
  <si>
    <t>11/26/1953</t>
  </si>
  <si>
    <t>Akemi</t>
  </si>
  <si>
    <t>Birch</t>
  </si>
  <si>
    <t>11/19/1961</t>
  </si>
  <si>
    <t>Xinyu</t>
  </si>
  <si>
    <t>4/29/1952</t>
  </si>
  <si>
    <t>Kolar</t>
  </si>
  <si>
    <t>Carrere</t>
  </si>
  <si>
    <t>2/5/1962</t>
  </si>
  <si>
    <t>8/29/1952</t>
  </si>
  <si>
    <t>Eben</t>
  </si>
  <si>
    <t>Aingworth</t>
  </si>
  <si>
    <t>3/10/1962</t>
  </si>
  <si>
    <t>Qunsheng</t>
  </si>
  <si>
    <t>Speer</t>
  </si>
  <si>
    <t>6/13/1956</t>
  </si>
  <si>
    <t>Dung</t>
  </si>
  <si>
    <t>Baca</t>
  </si>
  <si>
    <t>4/7/1952</t>
  </si>
  <si>
    <t>Lunjin</t>
  </si>
  <si>
    <t>Giveon</t>
  </si>
  <si>
    <t>7/10/1958</t>
  </si>
  <si>
    <t>Limsoon</t>
  </si>
  <si>
    <t>Beznosov</t>
  </si>
  <si>
    <t>Mariusz</t>
  </si>
  <si>
    <t>Prampolini</t>
  </si>
  <si>
    <t>3/19/1957</t>
  </si>
  <si>
    <t>Serenella</t>
  </si>
  <si>
    <t>Kamber</t>
  </si>
  <si>
    <t>3/7/1957</t>
  </si>
  <si>
    <t>Xuejia</t>
  </si>
  <si>
    <t>Ullian</t>
  </si>
  <si>
    <t>8/29/1963</t>
  </si>
  <si>
    <t>Hugo</t>
  </si>
  <si>
    <t>Rosis</t>
  </si>
  <si>
    <t>10/3/1952</t>
  </si>
  <si>
    <t>Hitomi</t>
  </si>
  <si>
    <t>Gunderson</t>
  </si>
  <si>
    <t>8/13/1963</t>
  </si>
  <si>
    <t>Yuichiro</t>
  </si>
  <si>
    <t>Swick</t>
  </si>
  <si>
    <t>11/13/1963</t>
  </si>
  <si>
    <t>Jaewon</t>
  </si>
  <si>
    <t>7/5/1953</t>
  </si>
  <si>
    <t>Dines</t>
  </si>
  <si>
    <t>Encarnacion</t>
  </si>
  <si>
    <t>2/16/1957</t>
  </si>
  <si>
    <t>Munir</t>
  </si>
  <si>
    <t>12/25/1964</t>
  </si>
  <si>
    <t>Chikara</t>
  </si>
  <si>
    <t>Rissland</t>
  </si>
  <si>
    <t>12/12/1957</t>
  </si>
  <si>
    <t>Harngdar</t>
  </si>
  <si>
    <t>8/26/1955</t>
  </si>
  <si>
    <t>Dayanand</t>
  </si>
  <si>
    <t>Czap</t>
  </si>
  <si>
    <t>1/30/1959</t>
  </si>
  <si>
    <t>Nectarios</t>
  </si>
  <si>
    <t>Covnot</t>
  </si>
  <si>
    <t>10/24/1961</t>
  </si>
  <si>
    <t>Kiyotoshi</t>
  </si>
  <si>
    <t>Blokdijk</t>
  </si>
  <si>
    <t>3/29/1957</t>
  </si>
  <si>
    <t>Zyda</t>
  </si>
  <si>
    <t>12/14/1960</t>
  </si>
  <si>
    <t>Ratzlaff</t>
  </si>
  <si>
    <t>2/17/1997</t>
  </si>
  <si>
    <t>12/1/1960</t>
  </si>
  <si>
    <t>Peltason</t>
  </si>
  <si>
    <t>3/26/1960</t>
  </si>
  <si>
    <t>Armond</t>
  </si>
  <si>
    <t>Fairtlough</t>
  </si>
  <si>
    <t>10/14/1959</t>
  </si>
  <si>
    <t>Leni</t>
  </si>
  <si>
    <t>Pusterhofer</t>
  </si>
  <si>
    <t>7/14/1962</t>
  </si>
  <si>
    <t>Ramsay</t>
  </si>
  <si>
    <t>1/19/1965</t>
  </si>
  <si>
    <t>Ohad</t>
  </si>
  <si>
    <t>Esposito</t>
  </si>
  <si>
    <t>10/10/1953</t>
  </si>
  <si>
    <t>Freyja</t>
  </si>
  <si>
    <t>Uhrig</t>
  </si>
  <si>
    <t>5/12/1962</t>
  </si>
  <si>
    <t>Hinrich</t>
  </si>
  <si>
    <t>Randi</t>
  </si>
  <si>
    <t>5/23/1962</t>
  </si>
  <si>
    <t>Geraldo</t>
  </si>
  <si>
    <t>Marwedel</t>
  </si>
  <si>
    <t>9/18/1956</t>
  </si>
  <si>
    <t>Zhenhua</t>
  </si>
  <si>
    <t>Milicic</t>
  </si>
  <si>
    <t>9/13/1957</t>
  </si>
  <si>
    <t>Syozo</t>
  </si>
  <si>
    <t>Hiltgen</t>
  </si>
  <si>
    <t>3/13/1952</t>
  </si>
  <si>
    <t>Bowen</t>
  </si>
  <si>
    <t>Schmezko</t>
  </si>
  <si>
    <t>8/7/1954</t>
  </si>
  <si>
    <t>Kayoko</t>
  </si>
  <si>
    <t>Valtorta</t>
  </si>
  <si>
    <t>2/24/1952</t>
  </si>
  <si>
    <t>Subir</t>
  </si>
  <si>
    <t>Baja</t>
  </si>
  <si>
    <t>6/1/1995</t>
  </si>
  <si>
    <t>9/27/1959</t>
  </si>
  <si>
    <t>Shiv</t>
  </si>
  <si>
    <t>Narlikar</t>
  </si>
  <si>
    <t>4/18/1997</t>
  </si>
  <si>
    <t>2/15/1958</t>
  </si>
  <si>
    <t>Babette</t>
  </si>
  <si>
    <t>Lamba</t>
  </si>
  <si>
    <t>12/2/1955</t>
  </si>
  <si>
    <t>Peir</t>
  </si>
  <si>
    <t>11/24/1952</t>
  </si>
  <si>
    <t>Chikako</t>
  </si>
  <si>
    <t>Veevers</t>
  </si>
  <si>
    <t>4/27/1955</t>
  </si>
  <si>
    <t>Nishit</t>
  </si>
  <si>
    <t>Casperson</t>
  </si>
  <si>
    <t>2/19/1952</t>
  </si>
  <si>
    <t>Magdalena</t>
  </si>
  <si>
    <t>Eldridge</t>
  </si>
  <si>
    <t>2/21/1964</t>
  </si>
  <si>
    <t>Kazuhira</t>
  </si>
  <si>
    <t>Shimshoni</t>
  </si>
  <si>
    <t>12/15/1956</t>
  </si>
  <si>
    <t>Ayakannu</t>
  </si>
  <si>
    <t>Skrikant</t>
  </si>
  <si>
    <t>12/12/1963</t>
  </si>
  <si>
    <t>Giri</t>
  </si>
  <si>
    <t>Isaak</t>
  </si>
  <si>
    <t>2/24/1961</t>
  </si>
  <si>
    <t>Leen</t>
  </si>
  <si>
    <t>Pappas</t>
  </si>
  <si>
    <t>4/15/1953</t>
  </si>
  <si>
    <t>Diederik</t>
  </si>
  <si>
    <t>Siprelle</t>
  </si>
  <si>
    <t>12/26/1958</t>
  </si>
  <si>
    <t>Changho</t>
  </si>
  <si>
    <t>Pietracaprina</t>
  </si>
  <si>
    <t>12/23/1956</t>
  </si>
  <si>
    <t>Nathan</t>
  </si>
  <si>
    <t>Monkewich</t>
  </si>
  <si>
    <t>9/14/1961</t>
  </si>
  <si>
    <t>Zissis</t>
  </si>
  <si>
    <t>Pintelas</t>
  </si>
  <si>
    <t>11/24/1960</t>
  </si>
  <si>
    <t>Pramanik</t>
  </si>
  <si>
    <t>7/30/1959</t>
  </si>
  <si>
    <t>Maren</t>
  </si>
  <si>
    <t>Hutton</t>
  </si>
  <si>
    <t>4/24/1955</t>
  </si>
  <si>
    <t>8/8/1952</t>
  </si>
  <si>
    <t>Chinin</t>
  </si>
  <si>
    <t>8/28/1993</t>
  </si>
  <si>
    <t>3/3/1963</t>
  </si>
  <si>
    <t>Ewing</t>
  </si>
  <si>
    <t>Foong</t>
  </si>
  <si>
    <t>3/11/1957</t>
  </si>
  <si>
    <t>Yucel</t>
  </si>
  <si>
    <t>Auria</t>
  </si>
  <si>
    <t>7/28/1964</t>
  </si>
  <si>
    <t>Reinhard</t>
  </si>
  <si>
    <t>Gischer</t>
  </si>
  <si>
    <t>1/17/1960</t>
  </si>
  <si>
    <t>Ishibashi</t>
  </si>
  <si>
    <t>4/13/2004</t>
  </si>
  <si>
    <t>8/29/1956</t>
  </si>
  <si>
    <t>Hettesheimer</t>
  </si>
  <si>
    <t>3/28/1959</t>
  </si>
  <si>
    <t>Shem</t>
  </si>
  <si>
    <t>Kroha</t>
  </si>
  <si>
    <t>7/16/1961</t>
  </si>
  <si>
    <t>Sakthirel</t>
  </si>
  <si>
    <t>6/17/1959</t>
  </si>
  <si>
    <t>Marla</t>
  </si>
  <si>
    <t>Brendel</t>
  </si>
  <si>
    <t>6/20/1964</t>
  </si>
  <si>
    <t>Kauko</t>
  </si>
  <si>
    <t>3/30/1956</t>
  </si>
  <si>
    <t>1/12/1959</t>
  </si>
  <si>
    <t>Chenyi</t>
  </si>
  <si>
    <t>Syang</t>
  </si>
  <si>
    <t>10/13/1964</t>
  </si>
  <si>
    <t>6/11/1959</t>
  </si>
  <si>
    <t>Percy</t>
  </si>
  <si>
    <t>Litecky</t>
  </si>
  <si>
    <t>10/4/1957</t>
  </si>
  <si>
    <t>Douadi</t>
  </si>
  <si>
    <t>Azumi</t>
  </si>
  <si>
    <t>5/20/1953</t>
  </si>
  <si>
    <t>Xiadong</t>
  </si>
  <si>
    <t>12/14/1962</t>
  </si>
  <si>
    <t>Gilbert</t>
  </si>
  <si>
    <t>Naumovich</t>
  </si>
  <si>
    <t>1/29/1955</t>
  </si>
  <si>
    <t>Zhenbing</t>
  </si>
  <si>
    <t>Perng</t>
  </si>
  <si>
    <t>3/6/1959</t>
  </si>
  <si>
    <t>Itzchak</t>
  </si>
  <si>
    <t>Lichtner</t>
  </si>
  <si>
    <t>6/12/1954</t>
  </si>
  <si>
    <t>Munke</t>
  </si>
  <si>
    <t>12/1/1954</t>
  </si>
  <si>
    <t>Jaques</t>
  </si>
  <si>
    <t>Munro</t>
  </si>
  <si>
    <t>12/15/1955</t>
  </si>
  <si>
    <t>Heekeun</t>
  </si>
  <si>
    <t>Majewski</t>
  </si>
  <si>
    <t>3/18/1963</t>
  </si>
  <si>
    <t>Khalil</t>
  </si>
  <si>
    <t>Gniady</t>
  </si>
  <si>
    <t>1/17/1957</t>
  </si>
  <si>
    <t>Thibadeau</t>
  </si>
  <si>
    <t>12/7/1959</t>
  </si>
  <si>
    <t>Adas</t>
  </si>
  <si>
    <t>Nastansky</t>
  </si>
  <si>
    <t>2/3/1960</t>
  </si>
  <si>
    <t>Fayez</t>
  </si>
  <si>
    <t>Harllee</t>
  </si>
  <si>
    <t>Sumali</t>
  </si>
  <si>
    <t>Fargier</t>
  </si>
  <si>
    <t>Crouzet</t>
  </si>
  <si>
    <t>4/23/1954</t>
  </si>
  <si>
    <t>Nigel</t>
  </si>
  <si>
    <t>Aloisi</t>
  </si>
  <si>
    <t>4/1/1958</t>
  </si>
  <si>
    <t>Khedija</t>
  </si>
  <si>
    <t>Mitsuhashi</t>
  </si>
  <si>
    <t>4/25/1988</t>
  </si>
  <si>
    <t>7/11/1955</t>
  </si>
  <si>
    <t>Tsuneo</t>
  </si>
  <si>
    <t>Matzat</t>
  </si>
  <si>
    <t>3/3/1955</t>
  </si>
  <si>
    <t>Serif</t>
  </si>
  <si>
    <t>Buescher</t>
  </si>
  <si>
    <t>10/18/1953</t>
  </si>
  <si>
    <t>Debatosh</t>
  </si>
  <si>
    <t>Khasidashvili</t>
  </si>
  <si>
    <t>9/29/1958</t>
  </si>
  <si>
    <t>Tonny</t>
  </si>
  <si>
    <t>Skafidas</t>
  </si>
  <si>
    <t>4/6/1953</t>
  </si>
  <si>
    <t>Mellouli</t>
  </si>
  <si>
    <t>10/5/1957</t>
  </si>
  <si>
    <t>Florina</t>
  </si>
  <si>
    <t>4/5/1954</t>
  </si>
  <si>
    <t>Bangqing</t>
  </si>
  <si>
    <t>Pehl</t>
  </si>
  <si>
    <t>9/17/1952</t>
  </si>
  <si>
    <t>Szmurlo</t>
  </si>
  <si>
    <t>1/19/1956</t>
  </si>
  <si>
    <t>Jagoda</t>
  </si>
  <si>
    <t>Braunmuhl</t>
  </si>
  <si>
    <t>12/21/1953</t>
  </si>
  <si>
    <t>Zaumen</t>
  </si>
  <si>
    <t>6/16/1960</t>
  </si>
  <si>
    <t>Miyeon</t>
  </si>
  <si>
    <t>Macedo</t>
  </si>
  <si>
    <t>9/26/1962</t>
  </si>
  <si>
    <t>Sashi</t>
  </si>
  <si>
    <t>Danlos</t>
  </si>
  <si>
    <t>5/10/1953</t>
  </si>
  <si>
    <t>Samphel</t>
  </si>
  <si>
    <t>Siegrist</t>
  </si>
  <si>
    <t>5/23/1958</t>
  </si>
  <si>
    <t>Rassart</t>
  </si>
  <si>
    <t>8/17/1953</t>
  </si>
  <si>
    <t>KayLiang</t>
  </si>
  <si>
    <t>Trachtenberg</t>
  </si>
  <si>
    <t>9/11/1964</t>
  </si>
  <si>
    <t>Dharmaraja</t>
  </si>
  <si>
    <t>Stassinopoulos</t>
  </si>
  <si>
    <t>5/3/1961</t>
  </si>
  <si>
    <t>Sampalli</t>
  </si>
  <si>
    <t>Snedden</t>
  </si>
  <si>
    <t>7/3/1955</t>
  </si>
  <si>
    <t>Yechezkel</t>
  </si>
  <si>
    <t>Pews</t>
  </si>
  <si>
    <t>10/3/1960</t>
  </si>
  <si>
    <t>Kasturi</t>
  </si>
  <si>
    <t>Jenevein</t>
  </si>
  <si>
    <t>9/11/1957</t>
  </si>
  <si>
    <t>Herbert</t>
  </si>
  <si>
    <t>4/5/1953</t>
  </si>
  <si>
    <t>Feipei</t>
  </si>
  <si>
    <t>Hasenauer</t>
  </si>
  <si>
    <t>3/25/1957</t>
  </si>
  <si>
    <t>Matzen</t>
  </si>
  <si>
    <t>10/28/1962</t>
  </si>
  <si>
    <t>Shrikanth</t>
  </si>
  <si>
    <t>Mahmud</t>
  </si>
  <si>
    <t>5/15/1959</t>
  </si>
  <si>
    <t>Badri</t>
  </si>
  <si>
    <t>Furudate</t>
  </si>
  <si>
    <t>9/20/1963</t>
  </si>
  <si>
    <t>Stabislas</t>
  </si>
  <si>
    <t>Domenig</t>
  </si>
  <si>
    <t>1/11/1960</t>
  </si>
  <si>
    <t>Aleksandar</t>
  </si>
  <si>
    <t>Ananiadou</t>
  </si>
  <si>
    <t>1/24/1957</t>
  </si>
  <si>
    <t>8/22/1961</t>
  </si>
  <si>
    <t>Gregory</t>
  </si>
  <si>
    <t>Zedlitz</t>
  </si>
  <si>
    <t>11/8/1954</t>
  </si>
  <si>
    <t>Pragnesh</t>
  </si>
  <si>
    <t>Iisaka</t>
  </si>
  <si>
    <t>3/13/1963</t>
  </si>
  <si>
    <t>Valery</t>
  </si>
  <si>
    <t>Litvinov</t>
  </si>
  <si>
    <t>11/6/1961</t>
  </si>
  <si>
    <t>Jayesh</t>
  </si>
  <si>
    <t>Merel</t>
  </si>
  <si>
    <t>11/25/1961</t>
  </si>
  <si>
    <t>Deniz</t>
  </si>
  <si>
    <t>Duclos</t>
  </si>
  <si>
    <t>1/29/1956</t>
  </si>
  <si>
    <t>Shaw</t>
  </si>
  <si>
    <t>Wendorf</t>
  </si>
  <si>
    <t>7/15/1952</t>
  </si>
  <si>
    <t>Felicidad</t>
  </si>
  <si>
    <t>Waymire</t>
  </si>
  <si>
    <t>1/22/1963</t>
  </si>
  <si>
    <t>Sibyl</t>
  </si>
  <si>
    <t>2/4/1961</t>
  </si>
  <si>
    <t>Moriyoshi</t>
  </si>
  <si>
    <t>Merey</t>
  </si>
  <si>
    <t>8/13/1960</t>
  </si>
  <si>
    <t>Businaro</t>
  </si>
  <si>
    <t>10/17/1954</t>
  </si>
  <si>
    <t>Bonifati</t>
  </si>
  <si>
    <t>8/3/1962</t>
  </si>
  <si>
    <t>Candido</t>
  </si>
  <si>
    <t>5/22/1957</t>
  </si>
  <si>
    <t>Mihalis</t>
  </si>
  <si>
    <t>Lowrie</t>
  </si>
  <si>
    <t>12/5/1959</t>
  </si>
  <si>
    <t>Duro</t>
  </si>
  <si>
    <t>Sidhu</t>
  </si>
  <si>
    <t>7/16/1953</t>
  </si>
  <si>
    <t>Shigehito</t>
  </si>
  <si>
    <t>Kropatsch</t>
  </si>
  <si>
    <t>5/26/1961</t>
  </si>
  <si>
    <t>Tommaso</t>
  </si>
  <si>
    <t>Narwekar</t>
  </si>
  <si>
    <t>3/31/1997</t>
  </si>
  <si>
    <t>1/30/1953</t>
  </si>
  <si>
    <t>Uriel</t>
  </si>
  <si>
    <t>Zongker</t>
  </si>
  <si>
    <t>7/13/1956</t>
  </si>
  <si>
    <t>Christ</t>
  </si>
  <si>
    <t>Muchinsky</t>
  </si>
  <si>
    <t>11/12/1955</t>
  </si>
  <si>
    <t>Khalid</t>
  </si>
  <si>
    <t>Erva</t>
  </si>
  <si>
    <t>12/8/1961</t>
  </si>
  <si>
    <t>12/11/1964</t>
  </si>
  <si>
    <t>Arve</t>
  </si>
  <si>
    <t>4/8/1959</t>
  </si>
  <si>
    <t>Zdislav</t>
  </si>
  <si>
    <t>10/20/1962</t>
  </si>
  <si>
    <t>Bahr</t>
  </si>
  <si>
    <t>9/16/1960</t>
  </si>
  <si>
    <t>Mohua</t>
  </si>
  <si>
    <t>Falck</t>
  </si>
  <si>
    <t>2/18/1954</t>
  </si>
  <si>
    <t>Gen</t>
  </si>
  <si>
    <t>6/29/1960</t>
  </si>
  <si>
    <t>Masaru</t>
  </si>
  <si>
    <t>Cheshire</t>
  </si>
  <si>
    <t>1/29/1954</t>
  </si>
  <si>
    <t>Josyula</t>
  </si>
  <si>
    <t>Hofmeyr</t>
  </si>
  <si>
    <t>3/1/1955</t>
  </si>
  <si>
    <t>Panayotis</t>
  </si>
  <si>
    <t>Daescu</t>
  </si>
  <si>
    <t>Annemarie</t>
  </si>
  <si>
    <t>Redmiles</t>
  </si>
  <si>
    <t>1/27/1954</t>
  </si>
  <si>
    <t>Marc</t>
  </si>
  <si>
    <t>Hellwagner</t>
  </si>
  <si>
    <t>11/11/1952</t>
  </si>
  <si>
    <t>Juichirou</t>
  </si>
  <si>
    <t>Ghelli</t>
  </si>
  <si>
    <t>8/6/1963</t>
  </si>
  <si>
    <t>Kasidit</t>
  </si>
  <si>
    <t>Krzyzanowski</t>
  </si>
  <si>
    <t>5/28/1953</t>
  </si>
  <si>
    <t>Pranav</t>
  </si>
  <si>
    <t>Furedi</t>
  </si>
  <si>
    <t>3/14/1958</t>
  </si>
  <si>
    <t>Francoise</t>
  </si>
  <si>
    <t>Baik</t>
  </si>
  <si>
    <t>Kazuhisa</t>
  </si>
  <si>
    <t>Ranta</t>
  </si>
  <si>
    <t>Vidya</t>
  </si>
  <si>
    <t>Idoia</t>
  </si>
  <si>
    <t>Kavraki</t>
  </si>
  <si>
    <t>3/19/1953</t>
  </si>
  <si>
    <t>Shmuel</t>
  </si>
  <si>
    <t>Georg</t>
  </si>
  <si>
    <t>1/5/1956</t>
  </si>
  <si>
    <t>Greger</t>
  </si>
  <si>
    <t>7/27/1955</t>
  </si>
  <si>
    <t>Steen</t>
  </si>
  <si>
    <t>4/12/1955</t>
  </si>
  <si>
    <t>Xuejun</t>
  </si>
  <si>
    <t>Chvatal</t>
  </si>
  <si>
    <t>12/9/1956</t>
  </si>
  <si>
    <t>Ritcey</t>
  </si>
  <si>
    <t>Mabhin</t>
  </si>
  <si>
    <t>Leijenhorst</t>
  </si>
  <si>
    <t>5/13/1960</t>
  </si>
  <si>
    <t>Conal</t>
  </si>
  <si>
    <t>Dayana</t>
  </si>
  <si>
    <t>Alassane</t>
  </si>
  <si>
    <t>Iwayama</t>
  </si>
  <si>
    <t>5/28/1955</t>
  </si>
  <si>
    <t>Girolamo</t>
  </si>
  <si>
    <t>Anandan</t>
  </si>
  <si>
    <t>3/9/1954</t>
  </si>
  <si>
    <t>Bach</t>
  </si>
  <si>
    <t>1/2/1960</t>
  </si>
  <si>
    <t>Xiping</t>
  </si>
  <si>
    <t>Klerer</t>
  </si>
  <si>
    <t>12/12/1956</t>
  </si>
  <si>
    <t>Yolla</t>
  </si>
  <si>
    <t>Ellozy</t>
  </si>
  <si>
    <t>Arie</t>
  </si>
  <si>
    <t>Kamble</t>
  </si>
  <si>
    <t>1/24/1958</t>
  </si>
  <si>
    <t>Yuping</t>
  </si>
  <si>
    <t>Alpin</t>
  </si>
  <si>
    <t>9/18/2001</t>
  </si>
  <si>
    <t>7/26/1954</t>
  </si>
  <si>
    <t>Pintsang</t>
  </si>
  <si>
    <t>Peron</t>
  </si>
  <si>
    <t>8/5/1964</t>
  </si>
  <si>
    <t>Vishu</t>
  </si>
  <si>
    <t>Strehl</t>
  </si>
  <si>
    <t>5/9/1959</t>
  </si>
  <si>
    <t>Esteva</t>
  </si>
  <si>
    <t>9/22/1995</t>
  </si>
  <si>
    <t>1/26/1962</t>
  </si>
  <si>
    <t>Parveen</t>
  </si>
  <si>
    <t>5/24/1964</t>
  </si>
  <si>
    <t>Jackson</t>
  </si>
  <si>
    <t>Kakkad</t>
  </si>
  <si>
    <t>4/14/1962</t>
  </si>
  <si>
    <t>Tadahiko</t>
  </si>
  <si>
    <t>Ciolek</t>
  </si>
  <si>
    <t>4/29/1959</t>
  </si>
  <si>
    <t>Quingbo</t>
  </si>
  <si>
    <t>Lagarias</t>
  </si>
  <si>
    <t>4/2/1954</t>
  </si>
  <si>
    <t>Xiaobin</t>
  </si>
  <si>
    <t>7/16/1958</t>
  </si>
  <si>
    <t>Amstein</t>
  </si>
  <si>
    <t>Ghemri</t>
  </si>
  <si>
    <t>11/9/1993</t>
  </si>
  <si>
    <t>6/3/1954</t>
  </si>
  <si>
    <t>Rutger</t>
  </si>
  <si>
    <t>Grospietsch</t>
  </si>
  <si>
    <t>4/20/1997</t>
  </si>
  <si>
    <t>7/7/1954</t>
  </si>
  <si>
    <t>Yongmin</t>
  </si>
  <si>
    <t>Roison</t>
  </si>
  <si>
    <t>12/7/1958</t>
  </si>
  <si>
    <t>Magalhaes</t>
  </si>
  <si>
    <t>2/28/2003</t>
  </si>
  <si>
    <t>9/23/1952</t>
  </si>
  <si>
    <t>Van</t>
  </si>
  <si>
    <t>5/2/1952</t>
  </si>
  <si>
    <t>Genta</t>
  </si>
  <si>
    <t>Kolvik</t>
  </si>
  <si>
    <t>4/19/1959</t>
  </si>
  <si>
    <t>5/25/1958</t>
  </si>
  <si>
    <t>Kish</t>
  </si>
  <si>
    <t>Fasbender</t>
  </si>
  <si>
    <t>1/3/1957</t>
  </si>
  <si>
    <t>Yucai</t>
  </si>
  <si>
    <t>Granlund</t>
  </si>
  <si>
    <t>3/31/1960</t>
  </si>
  <si>
    <t>Tiina</t>
  </si>
  <si>
    <t>Ozeki</t>
  </si>
  <si>
    <t>6/16/2009</t>
  </si>
  <si>
    <t>9/21/1962</t>
  </si>
  <si>
    <t>Tze</t>
  </si>
  <si>
    <t>Nourani</t>
  </si>
  <si>
    <t>9/17/1963</t>
  </si>
  <si>
    <t>Carrsten</t>
  </si>
  <si>
    <t>Schmiedel</t>
  </si>
  <si>
    <t>3/12/1954</t>
  </si>
  <si>
    <t>Vanwelkenhuysen</t>
  </si>
  <si>
    <t>5/17/1954</t>
  </si>
  <si>
    <t>Leon</t>
  </si>
  <si>
    <t>Trogemann</t>
  </si>
  <si>
    <t>Kellie</t>
  </si>
  <si>
    <t>Chinen</t>
  </si>
  <si>
    <t>Mads</t>
  </si>
  <si>
    <t>Felcyn</t>
  </si>
  <si>
    <t>12/28/1964</t>
  </si>
  <si>
    <t>Plessier</t>
  </si>
  <si>
    <t>7/4/1957</t>
  </si>
  <si>
    <t>Anneli</t>
  </si>
  <si>
    <t>Kaiser</t>
  </si>
  <si>
    <t>1/14/1962</t>
  </si>
  <si>
    <t>Roselyn</t>
  </si>
  <si>
    <t>Rahimi</t>
  </si>
  <si>
    <t>Cesareni</t>
  </si>
  <si>
    <t>10/29/1962</t>
  </si>
  <si>
    <t>Soicher</t>
  </si>
  <si>
    <t>2/10/1952</t>
  </si>
  <si>
    <t>Ulises</t>
  </si>
  <si>
    <t>Takanami</t>
  </si>
  <si>
    <t>1/28/1991</t>
  </si>
  <si>
    <t>9/11/1955</t>
  </si>
  <si>
    <t>Clyde</t>
  </si>
  <si>
    <t>Vernadat</t>
  </si>
  <si>
    <t>Vidar</t>
  </si>
  <si>
    <t>7/21/1963</t>
  </si>
  <si>
    <t>3/11/1956</t>
  </si>
  <si>
    <t>Marko</t>
  </si>
  <si>
    <t>12/30/1998</t>
  </si>
  <si>
    <t>9/24/1960</t>
  </si>
  <si>
    <t>Uli</t>
  </si>
  <si>
    <t>Candan</t>
  </si>
  <si>
    <t>4/1/1954</t>
  </si>
  <si>
    <t>Lein</t>
  </si>
  <si>
    <t>Vendrig</t>
  </si>
  <si>
    <t>1/18/1961</t>
  </si>
  <si>
    <t>Arunachalam</t>
  </si>
  <si>
    <t>4/13/1960</t>
  </si>
  <si>
    <t>Gudjon</t>
  </si>
  <si>
    <t>Poupard</t>
  </si>
  <si>
    <t>3/27/1958</t>
  </si>
  <si>
    <t>Susanta</t>
  </si>
  <si>
    <t>Roccetti</t>
  </si>
  <si>
    <t>9/9/2003</t>
  </si>
  <si>
    <t>Susumu</t>
  </si>
  <si>
    <t>Bade</t>
  </si>
  <si>
    <t>3/31/1954</t>
  </si>
  <si>
    <t>Moto</t>
  </si>
  <si>
    <t>Piazza</t>
  </si>
  <si>
    <t>9/22/1952</t>
  </si>
  <si>
    <t>Yannis</t>
  </si>
  <si>
    <t>11/2/1964</t>
  </si>
  <si>
    <t>Mototsugu</t>
  </si>
  <si>
    <t>Gire</t>
  </si>
  <si>
    <t>4/21/1955</t>
  </si>
  <si>
    <t>3/31/1955</t>
  </si>
  <si>
    <t>Nikolaos</t>
  </si>
  <si>
    <t>Llado</t>
  </si>
  <si>
    <t>11/4/1964</t>
  </si>
  <si>
    <t>Butner</t>
  </si>
  <si>
    <t>4/1/1952</t>
  </si>
  <si>
    <t>Remko</t>
  </si>
  <si>
    <t>Maccarone</t>
  </si>
  <si>
    <t>7/1/1958</t>
  </si>
  <si>
    <t>Ortrud</t>
  </si>
  <si>
    <t>Murillo</t>
  </si>
  <si>
    <t>2/22/1964</t>
  </si>
  <si>
    <t>Ozeri</t>
  </si>
  <si>
    <t>12/22/1960</t>
  </si>
  <si>
    <t>Pouyioutas</t>
  </si>
  <si>
    <t>1/24/1956</t>
  </si>
  <si>
    <t>Neelam</t>
  </si>
  <si>
    <t>8/23/1962</t>
  </si>
  <si>
    <t>Ramalingam</t>
  </si>
  <si>
    <t>Gente</t>
  </si>
  <si>
    <t>11/5/1952</t>
  </si>
  <si>
    <t>Guangming</t>
  </si>
  <si>
    <t>Butterworth</t>
  </si>
  <si>
    <t>6/23/1962</t>
  </si>
  <si>
    <t>Teitelbaum</t>
  </si>
  <si>
    <t>6/30/1964</t>
  </si>
  <si>
    <t>Heon</t>
  </si>
  <si>
    <t>Riefers</t>
  </si>
  <si>
    <t>5/14/1958</t>
  </si>
  <si>
    <t>Irene</t>
  </si>
  <si>
    <t>Setia</t>
  </si>
  <si>
    <t>9/24/1955</t>
  </si>
  <si>
    <t>Frederique</t>
  </si>
  <si>
    <t>6/10/1954</t>
  </si>
  <si>
    <t>Marie</t>
  </si>
  <si>
    <t>Boreale</t>
  </si>
  <si>
    <t>2/1/1965</t>
  </si>
  <si>
    <t>8/12/1958</t>
  </si>
  <si>
    <t>Serap</t>
  </si>
  <si>
    <t>Etalle</t>
  </si>
  <si>
    <t>2/10/1954</t>
  </si>
  <si>
    <t>Huiqun</t>
  </si>
  <si>
    <t>Rattan</t>
  </si>
  <si>
    <t>8/19/1987</t>
  </si>
  <si>
    <t>4/25/1957</t>
  </si>
  <si>
    <t>Alair</t>
  </si>
  <si>
    <t>1/30/1961</t>
  </si>
  <si>
    <t>Shirish</t>
  </si>
  <si>
    <t>Wegerle</t>
  </si>
  <si>
    <t>Mateescu</t>
  </si>
  <si>
    <t>11/12/1964</t>
  </si>
  <si>
    <t>Zsolt</t>
  </si>
  <si>
    <t>Salinas</t>
  </si>
  <si>
    <t>10/14/1988</t>
  </si>
  <si>
    <t>Shen</t>
  </si>
  <si>
    <t>6/22/2003</t>
  </si>
  <si>
    <t>8/30/1957</t>
  </si>
  <si>
    <t>Jahangir</t>
  </si>
  <si>
    <t>Schmittgen</t>
  </si>
  <si>
    <t>2/8/1964</t>
  </si>
  <si>
    <t>Garnick</t>
  </si>
  <si>
    <t>12/2/1960</t>
  </si>
  <si>
    <t>Radhakrishnan</t>
  </si>
  <si>
    <t>7/7/1956</t>
  </si>
  <si>
    <t>9/12/1957</t>
  </si>
  <si>
    <t>Aiman</t>
  </si>
  <si>
    <t>Riexinger</t>
  </si>
  <si>
    <t>12/12/1955</t>
  </si>
  <si>
    <t>12/28/1963</t>
  </si>
  <si>
    <t>Mantis</t>
  </si>
  <si>
    <t>Otillio</t>
  </si>
  <si>
    <t>11/24/1964</t>
  </si>
  <si>
    <t>Susanna</t>
  </si>
  <si>
    <t>Vesel</t>
  </si>
  <si>
    <t>8/27/1954</t>
  </si>
  <si>
    <t>Anwar</t>
  </si>
  <si>
    <t>7/14/1961</t>
  </si>
  <si>
    <t>Alper</t>
  </si>
  <si>
    <t>Suomi</t>
  </si>
  <si>
    <t>Mang</t>
  </si>
  <si>
    <t>Erie</t>
  </si>
  <si>
    <t>Berstel</t>
  </si>
  <si>
    <t>8/4/1955</t>
  </si>
  <si>
    <t>Mahendra</t>
  </si>
  <si>
    <t>Maraist</t>
  </si>
  <si>
    <t>9/27/1999</t>
  </si>
  <si>
    <t>2/8/1961</t>
  </si>
  <si>
    <t>Takahiro</t>
  </si>
  <si>
    <t>Waterhouse</t>
  </si>
  <si>
    <t>Yechiam</t>
  </si>
  <si>
    <t>Munch</t>
  </si>
  <si>
    <t>5/23/1992</t>
  </si>
  <si>
    <t>9/8/1958</t>
  </si>
  <si>
    <t>Nalini</t>
  </si>
  <si>
    <t>Kawashimo</t>
  </si>
  <si>
    <t>Muniz</t>
  </si>
  <si>
    <t>7/27/1958</t>
  </si>
  <si>
    <t>Szemeredi</t>
  </si>
  <si>
    <t>2/24/1958</t>
  </si>
  <si>
    <t>Sukumar</t>
  </si>
  <si>
    <t>1/16/1956</t>
  </si>
  <si>
    <t>Cullers</t>
  </si>
  <si>
    <t>7/4/1962</t>
  </si>
  <si>
    <t>Pardalos</t>
  </si>
  <si>
    <t>6/3/1958</t>
  </si>
  <si>
    <t>Siochi</t>
  </si>
  <si>
    <t>12/24/1996</t>
  </si>
  <si>
    <t>8/19/1954</t>
  </si>
  <si>
    <t>Jaroslava</t>
  </si>
  <si>
    <t>Bardell</t>
  </si>
  <si>
    <t>10/7/1959</t>
  </si>
  <si>
    <t>Taizo</t>
  </si>
  <si>
    <t>Oxman</t>
  </si>
  <si>
    <t>1/30/1963</t>
  </si>
  <si>
    <t>Bedir</t>
  </si>
  <si>
    <t>Hartvigsen</t>
  </si>
  <si>
    <t>12/20/1959</t>
  </si>
  <si>
    <t>Swen</t>
  </si>
  <si>
    <t>4/24/1962</t>
  </si>
  <si>
    <t>Sham</t>
  </si>
  <si>
    <t>Eastman</t>
  </si>
  <si>
    <t>11/30/1954</t>
  </si>
  <si>
    <t>Yishai</t>
  </si>
  <si>
    <t>Cannane</t>
  </si>
  <si>
    <t>5/9/1956</t>
  </si>
  <si>
    <t>Tianruo</t>
  </si>
  <si>
    <t>10/18/1996</t>
  </si>
  <si>
    <t>8/29/1962</t>
  </si>
  <si>
    <t>Baocai</t>
  </si>
  <si>
    <t>Lieblein</t>
  </si>
  <si>
    <t>8/23/1957</t>
  </si>
  <si>
    <t>Dmitri</t>
  </si>
  <si>
    <t>Pearson</t>
  </si>
  <si>
    <t>2/10/1960</t>
  </si>
  <si>
    <t>Swiler</t>
  </si>
  <si>
    <t>10/22/1961</t>
  </si>
  <si>
    <t>Marek</t>
  </si>
  <si>
    <t>Luck</t>
  </si>
  <si>
    <t>6/8/2000</t>
  </si>
  <si>
    <t>7/27/1964</t>
  </si>
  <si>
    <t>Hempstead</t>
  </si>
  <si>
    <t>6/18/1959</t>
  </si>
  <si>
    <t>Michaela</t>
  </si>
  <si>
    <t>Glowinski</t>
  </si>
  <si>
    <t>8/15/1964</t>
  </si>
  <si>
    <t>Isaac</t>
  </si>
  <si>
    <t>Schwartzbauer</t>
  </si>
  <si>
    <t>3/9/1955</t>
  </si>
  <si>
    <t>Lubomir</t>
  </si>
  <si>
    <t>5/2/1953</t>
  </si>
  <si>
    <t>Christophe</t>
  </si>
  <si>
    <t>Binding</t>
  </si>
  <si>
    <t>8/20/1964</t>
  </si>
  <si>
    <t>Barton</t>
  </si>
  <si>
    <t>Jumpertz</t>
  </si>
  <si>
    <t>5/31/1954</t>
  </si>
  <si>
    <t>Schaft</t>
  </si>
  <si>
    <t>10/29/1964</t>
  </si>
  <si>
    <t>Delgrange</t>
  </si>
  <si>
    <t>5/13/1953</t>
  </si>
  <si>
    <t>Moty</t>
  </si>
  <si>
    <t>Kusakari</t>
  </si>
  <si>
    <t>5/8/1954</t>
  </si>
  <si>
    <t>Zhiwei</t>
  </si>
  <si>
    <t>Bahk</t>
  </si>
  <si>
    <t>7/14/2000</t>
  </si>
  <si>
    <t>11/27/1953</t>
  </si>
  <si>
    <t>Hercules</t>
  </si>
  <si>
    <t>Benzmuller</t>
  </si>
  <si>
    <t>7/8/1953</t>
  </si>
  <si>
    <t>Birjandi</t>
  </si>
  <si>
    <t>8/15/1993</t>
  </si>
  <si>
    <t>4/8/1954</t>
  </si>
  <si>
    <t>Murrill</t>
  </si>
  <si>
    <t>9/21/1956</t>
  </si>
  <si>
    <t>2/9/1955</t>
  </si>
  <si>
    <t>Benveniste</t>
  </si>
  <si>
    <t>5/14/1952</t>
  </si>
  <si>
    <t>Saddek</t>
  </si>
  <si>
    <t>Gopalakrishnan</t>
  </si>
  <si>
    <t>3/13/1994</t>
  </si>
  <si>
    <t>11/28/1963</t>
  </si>
  <si>
    <t>9/17/1955</t>
  </si>
  <si>
    <t>Nakhoon</t>
  </si>
  <si>
    <t>Bennis</t>
  </si>
  <si>
    <t>6/2/1959</t>
  </si>
  <si>
    <t>Selwyn</t>
  </si>
  <si>
    <t>Perri</t>
  </si>
  <si>
    <t>7/24/1953</t>
  </si>
  <si>
    <t>Ronghao</t>
  </si>
  <si>
    <t>Conta</t>
  </si>
  <si>
    <t>11/30/1956</t>
  </si>
  <si>
    <t>Shay</t>
  </si>
  <si>
    <t>Poulakidas</t>
  </si>
  <si>
    <t>5/29/1957</t>
  </si>
  <si>
    <t>Yongmao</t>
  </si>
  <si>
    <t>Pleszkun</t>
  </si>
  <si>
    <t>8/7/1956</t>
  </si>
  <si>
    <t>Kwok</t>
  </si>
  <si>
    <t>1/23/1965</t>
  </si>
  <si>
    <t>Dipayan</t>
  </si>
  <si>
    <t>Seghrouchni</t>
  </si>
  <si>
    <t>1/27/1963</t>
  </si>
  <si>
    <t>1/11/1956</t>
  </si>
  <si>
    <t>Juyoung</t>
  </si>
  <si>
    <t>Smailagic</t>
  </si>
  <si>
    <t>11/24/1956</t>
  </si>
  <si>
    <t>Avouris</t>
  </si>
  <si>
    <t>1/5/1955</t>
  </si>
  <si>
    <t>Miara</t>
  </si>
  <si>
    <t>5/2/1959</t>
  </si>
  <si>
    <t>Quadeer</t>
  </si>
  <si>
    <t>1/13/1953</t>
  </si>
  <si>
    <t>Kristine</t>
  </si>
  <si>
    <t>Velardi</t>
  </si>
  <si>
    <t>5/13/1964</t>
  </si>
  <si>
    <t>Petter</t>
  </si>
  <si>
    <t>3/17/1957</t>
  </si>
  <si>
    <t>Jasminko</t>
  </si>
  <si>
    <t>Cronan</t>
  </si>
  <si>
    <t>6/17/1956</t>
  </si>
  <si>
    <t>Narain</t>
  </si>
  <si>
    <t>Oaver</t>
  </si>
  <si>
    <t>Dep_Name</t>
  </si>
  <si>
    <t>Marketing</t>
  </si>
  <si>
    <t>Finance</t>
  </si>
  <si>
    <t>Human Resources</t>
  </si>
  <si>
    <t>Production</t>
  </si>
  <si>
    <t>Development</t>
  </si>
  <si>
    <t>Quality Management</t>
  </si>
  <si>
    <t>Sales</t>
  </si>
  <si>
    <t>Research</t>
  </si>
  <si>
    <t>Customer Service</t>
  </si>
  <si>
    <t>1. Before proceeding with analysis, make sure Date Columns and Salary are in correct format.</t>
  </si>
  <si>
    <t>(Number formatting)</t>
  </si>
  <si>
    <t>(Conditional function---&gt; text function)</t>
  </si>
  <si>
    <t>New_Dob</t>
  </si>
  <si>
    <t>New_DoJ</t>
  </si>
  <si>
    <t>New_Last_Date</t>
  </si>
  <si>
    <t>2. In the "Employee_Info" sheet, add a new column that saves the "Dep_Name" for each Employee.</t>
  </si>
  <si>
    <t>Dept_Name</t>
  </si>
  <si>
    <t>3. Generate the following KPIs:</t>
  </si>
  <si>
    <t>a. No. of Employees who left the firm</t>
  </si>
  <si>
    <t>b. No. of Employees in the Leadership Role</t>
  </si>
  <si>
    <t>c. Total Employees associated with the firm</t>
  </si>
  <si>
    <t xml:space="preserve">No. of Employee who left = </t>
  </si>
  <si>
    <t>OR</t>
  </si>
  <si>
    <t xml:space="preserve">No. of Employees as Leaders = </t>
  </si>
  <si>
    <t>Total Employees =</t>
  </si>
  <si>
    <t>a. Employee Retention &amp; Attrition</t>
  </si>
  <si>
    <t>How many %employees have left the company?</t>
  </si>
  <si>
    <t>What is the average tenure of employees who left?</t>
  </si>
  <si>
    <t xml:space="preserve">% age of Employees who left = </t>
  </si>
  <si>
    <t>Tenure?(yrs)</t>
  </si>
  <si>
    <t>Avg. Tenure =</t>
  </si>
  <si>
    <t>b. Performance &amp; Productivity</t>
  </si>
  <si>
    <t>Is there any correlation between number of projects and performance rating?</t>
  </si>
  <si>
    <t>Which departments have the highest number of top performers?</t>
  </si>
  <si>
    <t>Performance Ratings</t>
  </si>
  <si>
    <t>Corelation between no. of projects &amp; ratings</t>
  </si>
  <si>
    <t>Departments with top Performers</t>
  </si>
  <si>
    <t>No, there is a very weak co-relation b/w the 2 variables</t>
  </si>
  <si>
    <t>Row Labels</t>
  </si>
  <si>
    <t>Grand Total</t>
  </si>
  <si>
    <t>(Multiple Items)</t>
  </si>
  <si>
    <t>Count of Emp_Id</t>
  </si>
  <si>
    <t>Departments</t>
  </si>
  <si>
    <t>Top Performers</t>
  </si>
  <si>
    <t>c. Salary Analysis</t>
  </si>
  <si>
    <t>What is the average salary by department?</t>
  </si>
  <si>
    <t>Are male or female employees paid more on average?</t>
  </si>
  <si>
    <t>Salary vs. No. of projects</t>
  </si>
  <si>
    <t>salary vs. ratings</t>
  </si>
  <si>
    <t>salary vs. job roles</t>
  </si>
  <si>
    <t>Average of Salary</t>
  </si>
  <si>
    <t>Avg. Salary</t>
  </si>
  <si>
    <t>Average Salary per Department</t>
  </si>
  <si>
    <t>Salary as per Gender Demograhics:</t>
  </si>
  <si>
    <t>Column Labels</t>
  </si>
  <si>
    <t>Salary vs.Ratings=</t>
  </si>
  <si>
    <t>d. Hiring Trends</t>
  </si>
  <si>
    <t>How many employees joined each year?</t>
  </si>
  <si>
    <t>Which departments saw the most hiring in the past 2 years?</t>
  </si>
  <si>
    <t>Employees joined each year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</si>
  <si>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</si>
  <si>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</si>
  <si>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</si>
  <si>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</si>
  <si>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</si>
  <si>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</si>
  <si>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</si>
  <si>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</si>
  <si>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</si>
  <si>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</si>
  <si>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</si>
  <si>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</si>
  <si>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</si>
  <si>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</si>
  <si>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</si>
  <si>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Years</t>
  </si>
  <si>
    <t>Emp Joined</t>
  </si>
  <si>
    <t>Most hirings in past 2 years:</t>
  </si>
  <si>
    <t>New_DoJ (Year)</t>
  </si>
  <si>
    <t>Joined in Last 2 years?</t>
  </si>
  <si>
    <t>Yes</t>
  </si>
  <si>
    <t>5. Are there any employees with poor performance and high salary?</t>
  </si>
  <si>
    <t>Consider: salary thershold =  90K</t>
  </si>
  <si>
    <t>Poor performance = 1,2,</t>
  </si>
  <si>
    <t>Poor rating High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</si>
</sst>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6" formatCode="0.0%"/>
    <numFmt numFmtId="174" formatCode="0.0\ &quot;years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9" tint="0.3999755851924192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3" fillId="0" borderId="0" xfId="0" applyFont="1"/>
    <xf numFmtId="164" fontId="0" fillId="0" borderId="5" xfId="0" applyNumberFormat="1" applyBorder="1"/>
    <xf numFmtId="164" fontId="0" fillId="0" borderId="8" xfId="0" applyNumberFormat="1" applyBorder="1"/>
    <xf numFmtId="14" fontId="0" fillId="0" borderId="2" xfId="0" applyNumberFormat="1" applyBorder="1"/>
    <xf numFmtId="14" fontId="0" fillId="0" borderId="5" xfId="0" applyNumberFormat="1" applyBorder="1"/>
    <xf numFmtId="14" fontId="0" fillId="0" borderId="8" xfId="0" applyNumberForma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 vertical="center" indent="1"/>
    </xf>
    <xf numFmtId="2" fontId="0" fillId="0" borderId="2" xfId="0" applyNumberFormat="1" applyBorder="1"/>
    <xf numFmtId="17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left" vertical="center" indent="1"/>
    </xf>
    <xf numFmtId="166" fontId="3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/>
  </cellXfs>
  <cellStyles count="2">
    <cellStyle name="Normal" xfId="0" builtinId="0"/>
    <cellStyle name="Percent" xfId="1" builtinId="5"/>
  </cellStyles>
  <dxfs count="30">
    <dxf>
      <fill>
        <patternFill>
          <bgColor theme="5" tint="0.3999450666829432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 Analysis.xlsx]Analysis!PivotTable4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Yearly</a:t>
            </a:r>
            <a:r>
              <a:rPr lang="en-US" b="1" baseline="0"/>
              <a:t> Joining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Analysis!$F$69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Analysis!$E$70:$E$85</c:f>
              <c:strCache>
                <c:ptCount val="15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</c:strCache>
            </c:strRef>
          </c:cat>
          <c:val>
            <c:numRef>
              <c:f>Analysis!$F$70:$F$85</c:f>
              <c:numCache>
                <c:formatCode>General</c:formatCode>
                <c:ptCount val="15"/>
                <c:pt idx="0">
                  <c:v>51</c:v>
                </c:pt>
                <c:pt idx="1">
                  <c:v>69</c:v>
                </c:pt>
                <c:pt idx="2">
                  <c:v>56</c:v>
                </c:pt>
                <c:pt idx="3">
                  <c:v>52</c:v>
                </c:pt>
                <c:pt idx="4">
                  <c:v>44</c:v>
                </c:pt>
                <c:pt idx="5">
                  <c:v>50</c:v>
                </c:pt>
                <c:pt idx="6">
                  <c:v>41</c:v>
                </c:pt>
                <c:pt idx="7">
                  <c:v>41</c:v>
                </c:pt>
                <c:pt idx="8">
                  <c:v>23</c:v>
                </c:pt>
                <c:pt idx="9">
                  <c:v>24</c:v>
                </c:pt>
                <c:pt idx="10">
                  <c:v>22</c:v>
                </c:pt>
                <c:pt idx="11">
                  <c:v>10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C-4506-BF83-8F5A4FC356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529343"/>
        <c:axId val="471896015"/>
      </c:lineChart>
      <c:catAx>
        <c:axId val="18452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896015"/>
        <c:crosses val="autoZero"/>
        <c:auto val="1"/>
        <c:lblAlgn val="ctr"/>
        <c:lblOffset val="100"/>
        <c:noMultiLvlLbl val="0"/>
      </c:catAx>
      <c:valAx>
        <c:axId val="47189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2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234949</xdr:colOff>
      <xdr:row>67</xdr:row>
      <xdr:rowOff>165100</xdr:rowOff>
    </xdr:from>
    <xdr:to>
      <xdr:col>16</xdr:col>
      <xdr:colOff>197068</xdr:colOff>
      <xdr:row>81</xdr:row>
      <xdr:rowOff>13138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3DC7B0-C9C4-3513-1229-0986359DC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5856.501224074076" backgroundQuery="1" createdVersion="8" refreshedVersion="8" minRefreshableVersion="3" recordCount="0" supportSubquery="1" supportAdvancedDrill="1" xr:uid="{7DF88B68-523A-443E-AC5E-9613981414BE}">
  <cacheSource type="external" connectionId="3"/>
  <cacheFields count="2">
    <cacheField name="[Emp_Info].[New_DoJ (Year)].[New_DoJ (Year)]" caption="New_DoJ (Year)" numFmtId="0" hierarchy="21" level="1">
      <sharedItems count="15"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</sharedItems>
    </cacheField>
    <cacheField name="[Measures].[Count of Emp_Id]" caption="Count of Emp_Id" numFmtId="0" hierarchy="33" level="32767"/>
  </cacheFields>
  <cacheHierarchies count="36">
    <cacheHierarchy uniqueName="[Dep_Info].[Dep_Name]" caption="Dep_Name" attribute="1" defaultMemberUniqueName="[Dep_Info].[Dep_Name].[All]" allUniqueName="[Dep_Info].[Dep_Name].[All]" dimensionUniqueName="[Dep_Info]" displayFolder="" count="0" memberValueDatatype="130" unbalanced="0"/>
    <cacheHierarchy uniqueName="[Dep_Info].[Dept_Id]" caption="Dept_Id" attribute="1" defaultMemberUniqueName="[Dep_Info].[Dept_Id].[All]" allUniqueName="[Dep_Info].[Dept_Id].[All]" dimensionUniqueName="[Dep_Info]" displayFolder="" count="0" memberValueDatatype="130" unbalanced="0"/>
    <cacheHierarchy uniqueName="[Emp_Info].[Emp_Id]" caption="Emp_Id" attribute="1" defaultMemberUniqueName="[Emp_Info].[Emp_Id].[All]" allUniqueName="[Emp_Info].[Emp_Id].[All]" dimensionUniqueName="[Emp_Info]" displayFolder="" count="0" memberValueDatatype="20" unbalanced="0"/>
    <cacheHierarchy uniqueName="[Emp_Info].[DOB]" caption="DOB" attribute="1" defaultMemberUniqueName="[Emp_Info].[DOB].[All]" allUniqueName="[Emp_Info].[DOB].[All]" dimensionUniqueName="[Emp_Info]" displayFolder="" count="0" memberValueDatatype="130" unbalanced="0"/>
    <cacheHierarchy uniqueName="[Emp_Info].[first_name]" caption="first_name" attribute="1" defaultMemberUniqueName="[Emp_Info].[first_name].[All]" allUniqueName="[Emp_Info].[first_name].[All]" dimensionUniqueName="[Emp_Info]" displayFolder="" count="0" memberValueDatatype="130" unbalanced="0"/>
    <cacheHierarchy uniqueName="[Emp_Info].[last_name]" caption="last_name" attribute="1" defaultMemberUniqueName="[Emp_Info].[last_name].[All]" allUniqueName="[Emp_Info].[last_name].[All]" dimensionUniqueName="[Emp_Info]" displayFolder="" count="0" memberValueDatatype="130" unbalanced="0"/>
    <cacheHierarchy uniqueName="[Emp_Info].[Gender]" caption="Gender" attribute="1" defaultMemberUniqueName="[Emp_Info].[Gender].[All]" allUniqueName="[Emp_Info].[Gender].[All]" dimensionUniqueName="[Emp_Info]" displayFolder="" count="0" memberValueDatatype="130" unbalanced="0"/>
    <cacheHierarchy uniqueName="[Emp_Info].[DoJ]" caption="DoJ" attribute="1" time="1" defaultMemberUniqueName="[Emp_Info].[DoJ].[All]" allUniqueName="[Emp_Info].[DoJ].[All]" dimensionUniqueName="[Emp_Info]" displayFolder="" count="0" memberValueDatatype="7" unbalanced="0"/>
    <cacheHierarchy uniqueName="[Emp_Info].[no_of_projects]" caption="no_of_projects" attribute="1" defaultMemberUniqueName="[Emp_Info].[no_of_projects].[All]" allUniqueName="[Emp_Info].[no_of_projects].[All]" dimensionUniqueName="[Emp_Info]" displayFolder="" count="0" memberValueDatatype="20" unbalanced="0"/>
    <cacheHierarchy uniqueName="[Emp_Info].[Last_performance_rating]" caption="Last_performance_rating" attribute="1" defaultMemberUniqueName="[Emp_Info].[Last_performance_rating].[All]" allUniqueName="[Emp_Info].[Last_performance_rating].[All]" dimensionUniqueName="[Emp_Info]" displayFolder="" count="0" memberValueDatatype="130" unbalanced="0"/>
    <cacheHierarchy uniqueName="[Emp_Info].[Left?]" caption="Left?" attribute="1" defaultMemberUniqueName="[Emp_Info].[Left?].[All]" allUniqueName="[Emp_Info].[Left?].[All]" dimensionUniqueName="[Emp_Info]" displayFolder="" count="0" memberValueDatatype="20" unbalanced="0"/>
    <cacheHierarchy uniqueName="[Emp_Info].[last_date]" caption="last_date" attribute="1" defaultMemberUniqueName="[Emp_Info].[last_date].[All]" allUniqueName="[Emp_Info].[last_date].[All]" dimensionUniqueName="[Emp_Info]" displayFolder="" count="0" memberValueDatatype="130" unbalanced="0"/>
    <cacheHierarchy uniqueName="[Emp_Info].[Salary]" caption="Salary" attribute="1" defaultMemberUniqueName="[Emp_Info].[Salary].[All]" allUniqueName="[Emp_Info].[Salary].[All]" dimensionUniqueName="[Emp_Info]" displayFolder="" count="0" memberValueDatatype="20" unbalanced="0"/>
    <cacheHierarchy uniqueName="[Emp_Info].[Dept_Id]" caption="Dept_Id" attribute="1" defaultMemberUniqueName="[Emp_Info].[Dept_Id].[All]" allUniqueName="[Emp_Info].[Dept_Id].[All]" dimensionUniqueName="[Emp_Info]" displayFolder="" count="0" memberValueDatatype="130" unbalanced="0"/>
    <cacheHierarchy uniqueName="[Emp_Info].[Title]" caption="Title" attribute="1" defaultMemberUniqueName="[Emp_Info].[Title].[All]" allUniqueName="[Emp_Info].[Title].[All]" dimensionUniqueName="[Emp_Info]" displayFolder="" count="0" memberValueDatatype="130" unbalanced="0"/>
    <cacheHierarchy uniqueName="[Emp_Info].[New_Dob]" caption="New_Dob" attribute="1" time="1" defaultMemberUniqueName="[Emp_Info].[New_Dob].[All]" allUniqueName="[Emp_Info].[New_Dob].[All]" dimensionUniqueName="[Emp_Info]" displayFolder="" count="0" memberValueDatatype="7" unbalanced="0"/>
    <cacheHierarchy uniqueName="[Emp_Info].[New_DoJ]" caption="New_DoJ" attribute="1" time="1" defaultMemberUniqueName="[Emp_Info].[New_DoJ].[All]" allUniqueName="[Emp_Info].[New_DoJ].[All]" dimensionUniqueName="[Emp_Info]" displayFolder="" count="0" memberValueDatatype="7" unbalanced="0"/>
    <cacheHierarchy uniqueName="[Emp_Info].[New_Last_Date]" caption="New_Last_Date" attribute="1" time="1" defaultMemberUniqueName="[Emp_Info].[New_Last_Date].[All]" allUniqueName="[Emp_Info].[New_Last_Date].[All]" dimensionUniqueName="[Emp_Info]" displayFolder="" count="0" memberValueDatatype="7" unbalanced="0"/>
    <cacheHierarchy uniqueName="[Emp_Info].[Dept_Name]" caption="Dept_Name" attribute="1" defaultMemberUniqueName="[Emp_Info].[Dept_Name].[All]" allUniqueName="[Emp_Info].[Dept_Name].[All]" dimensionUniqueName="[Emp_Info]" displayFolder="" count="0" memberValueDatatype="130" unbalanced="0"/>
    <cacheHierarchy uniqueName="[Emp_Info].[Tenure?(yrs)]" caption="Tenure?(yrs)" attribute="1" defaultMemberUniqueName="[Emp_Info].[Tenure?(yrs)].[All]" allUniqueName="[Emp_Info].[Tenure?(yrs)].[All]" dimensionUniqueName="[Emp_Info]" displayFolder="" count="0" memberValueDatatype="5" unbalanced="0"/>
    <cacheHierarchy uniqueName="[Emp_Info].[Performance Ratings]" caption="Performance Ratings" attribute="1" defaultMemberUniqueName="[Emp_Info].[Performance Ratings].[All]" allUniqueName="[Emp_Info].[Performance Ratings].[All]" dimensionUniqueName="[Emp_Info]" displayFolder="" count="0" memberValueDatatype="20" unbalanced="0"/>
    <cacheHierarchy uniqueName="[Emp_Info].[New_DoJ (Year)]" caption="New_DoJ (Year)" attribute="1" defaultMemberUniqueName="[Emp_Info].[New_DoJ (Year)].[All]" allUniqueName="[Emp_Info].[New_DoJ (Year)].[All]" dimensionUniqueName="[Emp_Info]" displayFolder="" count="2" memberValueDatatype="130" unbalanced="0">
      <fieldsUsage count="2">
        <fieldUsage x="-1"/>
        <fieldUsage x="0"/>
      </fieldsUsage>
    </cacheHierarchy>
    <cacheHierarchy uniqueName="[Emp_Info].[New_DoJ (Quarter)]" caption="New_DoJ (Quarter)" attribute="1" defaultMemberUniqueName="[Emp_Info].[New_DoJ (Quarter)].[All]" allUniqueName="[Emp_Info].[New_DoJ (Quarter)].[All]" dimensionUniqueName="[Emp_Info]" displayFolder="" count="0" memberValueDatatype="130" unbalanced="0"/>
    <cacheHierarchy uniqueName="[Emp_Info].[New_DoJ (Month)]" caption="New_DoJ (Month)" attribute="1" defaultMemberUniqueName="[Emp_Info].[New_DoJ (Month)].[All]" allUniqueName="[Emp_Info].[New_DoJ (Month)].[All]" dimensionUniqueName="[Emp_Info]" displayFolder="" count="0" memberValueDatatype="130" unbalanced="0"/>
    <cacheHierarchy uniqueName="[Emp_Info].[New_Last_Date (Year)]" caption="New_Last_Date (Year)" attribute="1" defaultMemberUniqueName="[Emp_Info].[New_Last_Date (Year)].[All]" allUniqueName="[Emp_Info].[New_Last_Date (Year)].[All]" dimensionUniqueName="[Emp_Info]" displayFolder="" count="0" memberValueDatatype="130" unbalanced="0"/>
    <cacheHierarchy uniqueName="[Emp_Info].[New_Last_Date (Quarter)]" caption="New_Last_Date (Quarter)" attribute="1" defaultMemberUniqueName="[Emp_Info].[New_Last_Date (Quarter)].[All]" allUniqueName="[Emp_Info].[New_Last_Date (Quarter)].[All]" dimensionUniqueName="[Emp_Info]" displayFolder="" count="0" memberValueDatatype="130" unbalanced="0"/>
    <cacheHierarchy uniqueName="[Emp_Info].[New_Last_Date (Month)]" caption="New_Last_Date (Month)" attribute="1" defaultMemberUniqueName="[Emp_Info].[New_Last_Date (Month)].[All]" allUniqueName="[Emp_Info].[New_Last_Date (Month)].[All]" dimensionUniqueName="[Emp_Info]" displayFolder="" count="0" memberValueDatatype="130" unbalanced="0"/>
    <cacheHierarchy uniqueName="[Emp_Info].[New_DoJ (Month Index)]" caption="New_DoJ (Month Index)" attribute="1" defaultMemberUniqueName="[Emp_Info].[New_DoJ (Month Index)].[All]" allUniqueName="[Emp_Info].[New_DoJ (Month Index)].[All]" dimensionUniqueName="[Emp_Info]" displayFolder="" count="0" memberValueDatatype="20" unbalanced="0" hidden="1"/>
    <cacheHierarchy uniqueName="[Emp_Info].[New_Last_Date (Month Index)]" caption="New_Last_Date (Month Index)" attribute="1" defaultMemberUniqueName="[Emp_Info].[New_Last_Date (Month Index)].[All]" allUniqueName="[Emp_Info].[New_Last_Date (Month Index)].[All]" dimensionUniqueName="[Emp_Info]" displayFolder="" count="0" memberValueDatatype="20" unbalanced="0" hidden="1"/>
    <cacheHierarchy uniqueName="[Measures].[__XL_Count Emp_Info]" caption="__XL_Count Emp_Info" measure="1" displayFolder="" measureGroup="Emp_Info" count="0" hidden="1"/>
    <cacheHierarchy uniqueName="[Measures].[__XL_Count Dep_Info]" caption="__XL_Count Dep_Info" measure="1" displayFolder="" measureGroup="Dep_Info" count="0" hidden="1"/>
    <cacheHierarchy uniqueName="[Measures].[__No measures defined]" caption="__No measures defined" measure="1" displayFolder="" count="0" hidden="1"/>
    <cacheHierarchy uniqueName="[Measures].[Sum of Emp_Id]" caption="Sum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Emp_Id]" caption="Count of Emp_Id" measure="1" displayFolder="" measureGroup="Emp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ary]" caption="Sum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Salary]" caption="Average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3">
    <dimension name="Dep_Info" uniqueName="[Dep_Info]" caption="Dep_Info"/>
    <dimension name="Emp_Info" uniqueName="[Emp_Info]" caption="Emp_Info"/>
    <dimension measure="1" name="Measures" uniqueName="[Measures]" caption="Measures"/>
  </dimensions>
  <measureGroups count="2">
    <measureGroup name="Dep_Info" caption="Dep_Info"/>
    <measureGroup name="Emp_Info" caption="Emp_Info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5856.501225578701" backgroundQuery="1" createdVersion="8" refreshedVersion="8" minRefreshableVersion="3" recordCount="0" supportSubquery="1" supportAdvancedDrill="1" xr:uid="{08F27149-BFA8-4BE9-B0A1-3BEB30F97B74}">
  <cacheSource type="external" connectionId="3"/>
  <cacheFields count="3">
    <cacheField name="[Dep_Info].[Dep_Name].[Dep_Name]" caption="Dep_Name" numFmtId="0" level="1">
      <sharedItems count="9">
        <s v="Customer Service"/>
        <s v="Development"/>
        <s v="Finance"/>
        <s v="Human Resources"/>
        <s v="Marketing"/>
        <s v="Production"/>
        <s v="Quality Management"/>
        <s v="Research"/>
        <s v="Sales"/>
      </sharedItems>
    </cacheField>
    <cacheField name="[Emp_Info].[Performance Ratings].[Performance Ratings]" caption="Performance Ratings" numFmtId="0" hierarchy="20" level="1">
      <sharedItems containsSemiMixedTypes="0" containsNonDate="0" containsString="0"/>
    </cacheField>
    <cacheField name="[Measures].[Count of Emp_Id]" caption="Count of Emp_Id" numFmtId="0" hierarchy="33" level="32767"/>
  </cacheFields>
  <cacheHierarchies count="36">
    <cacheHierarchy uniqueName="[Dep_Info].[Dep_Name]" caption="Dep_Name" attribute="1" defaultMemberUniqueName="[Dep_Info].[Dep_Name].[All]" allUniqueName="[Dep_Info].[Dep_Name].[All]" dimensionUniqueName="[Dep_Info]" displayFolder="" count="2" memberValueDatatype="130" unbalanced="0">
      <fieldsUsage count="2">
        <fieldUsage x="-1"/>
        <fieldUsage x="0"/>
      </fieldsUsage>
    </cacheHierarchy>
    <cacheHierarchy uniqueName="[Dep_Info].[Dept_Id]" caption="Dept_Id" attribute="1" defaultMemberUniqueName="[Dep_Info].[Dept_Id].[All]" allUniqueName="[Dep_Info].[Dept_Id].[All]" dimensionUniqueName="[Dep_Info]" displayFolder="" count="0" memberValueDatatype="130" unbalanced="0"/>
    <cacheHierarchy uniqueName="[Emp_Info].[Emp_Id]" caption="Emp_Id" attribute="1" defaultMemberUniqueName="[Emp_Info].[Emp_Id].[All]" allUniqueName="[Emp_Info].[Emp_Id].[All]" dimensionUniqueName="[Emp_Info]" displayFolder="" count="0" memberValueDatatype="20" unbalanced="0"/>
    <cacheHierarchy uniqueName="[Emp_Info].[DOB]" caption="DOB" attribute="1" defaultMemberUniqueName="[Emp_Info].[DOB].[All]" allUniqueName="[Emp_Info].[DOB].[All]" dimensionUniqueName="[Emp_Info]" displayFolder="" count="0" memberValueDatatype="130" unbalanced="0"/>
    <cacheHierarchy uniqueName="[Emp_Info].[first_name]" caption="first_name" attribute="1" defaultMemberUniqueName="[Emp_Info].[first_name].[All]" allUniqueName="[Emp_Info].[first_name].[All]" dimensionUniqueName="[Emp_Info]" displayFolder="" count="0" memberValueDatatype="130" unbalanced="0"/>
    <cacheHierarchy uniqueName="[Emp_Info].[last_name]" caption="last_name" attribute="1" defaultMemberUniqueName="[Emp_Info].[last_name].[All]" allUniqueName="[Emp_Info].[last_name].[All]" dimensionUniqueName="[Emp_Info]" displayFolder="" count="0" memberValueDatatype="130" unbalanced="0"/>
    <cacheHierarchy uniqueName="[Emp_Info].[Gender]" caption="Gender" attribute="1" defaultMemberUniqueName="[Emp_Info].[Gender].[All]" allUniqueName="[Emp_Info].[Gender].[All]" dimensionUniqueName="[Emp_Info]" displayFolder="" count="0" memberValueDatatype="130" unbalanced="0"/>
    <cacheHierarchy uniqueName="[Emp_Info].[DoJ]" caption="DoJ" attribute="1" time="1" defaultMemberUniqueName="[Emp_Info].[DoJ].[All]" allUniqueName="[Emp_Info].[DoJ].[All]" dimensionUniqueName="[Emp_Info]" displayFolder="" count="0" memberValueDatatype="7" unbalanced="0"/>
    <cacheHierarchy uniqueName="[Emp_Info].[no_of_projects]" caption="no_of_projects" attribute="1" defaultMemberUniqueName="[Emp_Info].[no_of_projects].[All]" allUniqueName="[Emp_Info].[no_of_projects].[All]" dimensionUniqueName="[Emp_Info]" displayFolder="" count="0" memberValueDatatype="20" unbalanced="0"/>
    <cacheHierarchy uniqueName="[Emp_Info].[Last_performance_rating]" caption="Last_performance_rating" attribute="1" defaultMemberUniqueName="[Emp_Info].[Last_performance_rating].[All]" allUniqueName="[Emp_Info].[Last_performance_rating].[All]" dimensionUniqueName="[Emp_Info]" displayFolder="" count="0" memberValueDatatype="130" unbalanced="0"/>
    <cacheHierarchy uniqueName="[Emp_Info].[Left?]" caption="Left?" attribute="1" defaultMemberUniqueName="[Emp_Info].[Left?].[All]" allUniqueName="[Emp_Info].[Left?].[All]" dimensionUniqueName="[Emp_Info]" displayFolder="" count="0" memberValueDatatype="20" unbalanced="0"/>
    <cacheHierarchy uniqueName="[Emp_Info].[last_date]" caption="last_date" attribute="1" defaultMemberUniqueName="[Emp_Info].[last_date].[All]" allUniqueName="[Emp_Info].[last_date].[All]" dimensionUniqueName="[Emp_Info]" displayFolder="" count="0" memberValueDatatype="130" unbalanced="0"/>
    <cacheHierarchy uniqueName="[Emp_Info].[Salary]" caption="Salary" attribute="1" defaultMemberUniqueName="[Emp_Info].[Salary].[All]" allUniqueName="[Emp_Info].[Salary].[All]" dimensionUniqueName="[Emp_Info]" displayFolder="" count="0" memberValueDatatype="20" unbalanced="0"/>
    <cacheHierarchy uniqueName="[Emp_Info].[Dept_Id]" caption="Dept_Id" attribute="1" defaultMemberUniqueName="[Emp_Info].[Dept_Id].[All]" allUniqueName="[Emp_Info].[Dept_Id].[All]" dimensionUniqueName="[Emp_Info]" displayFolder="" count="0" memberValueDatatype="130" unbalanced="0"/>
    <cacheHierarchy uniqueName="[Emp_Info].[Title]" caption="Title" attribute="1" defaultMemberUniqueName="[Emp_Info].[Title].[All]" allUniqueName="[Emp_Info].[Title].[All]" dimensionUniqueName="[Emp_Info]" displayFolder="" count="0" memberValueDatatype="130" unbalanced="0"/>
    <cacheHierarchy uniqueName="[Emp_Info].[New_Dob]" caption="New_Dob" attribute="1" time="1" defaultMemberUniqueName="[Emp_Info].[New_Dob].[All]" allUniqueName="[Emp_Info].[New_Dob].[All]" dimensionUniqueName="[Emp_Info]" displayFolder="" count="0" memberValueDatatype="7" unbalanced="0"/>
    <cacheHierarchy uniqueName="[Emp_Info].[New_DoJ]" caption="New_DoJ" attribute="1" time="1" defaultMemberUniqueName="[Emp_Info].[New_DoJ].[All]" allUniqueName="[Emp_Info].[New_DoJ].[All]" dimensionUniqueName="[Emp_Info]" displayFolder="" count="0" memberValueDatatype="7" unbalanced="0"/>
    <cacheHierarchy uniqueName="[Emp_Info].[New_Last_Date]" caption="New_Last_Date" attribute="1" time="1" defaultMemberUniqueName="[Emp_Info].[New_Last_Date].[All]" allUniqueName="[Emp_Info].[New_Last_Date].[All]" dimensionUniqueName="[Emp_Info]" displayFolder="" count="0" memberValueDatatype="7" unbalanced="0"/>
    <cacheHierarchy uniqueName="[Emp_Info].[Dept_Name]" caption="Dept_Name" attribute="1" defaultMemberUniqueName="[Emp_Info].[Dept_Name].[All]" allUniqueName="[Emp_Info].[Dept_Name].[All]" dimensionUniqueName="[Emp_Info]" displayFolder="" count="0" memberValueDatatype="130" unbalanced="0"/>
    <cacheHierarchy uniqueName="[Emp_Info].[Tenure?(yrs)]" caption="Tenure?(yrs)" attribute="1" defaultMemberUniqueName="[Emp_Info].[Tenure?(yrs)].[All]" allUniqueName="[Emp_Info].[Tenure?(yrs)].[All]" dimensionUniqueName="[Emp_Info]" displayFolder="" count="0" memberValueDatatype="5" unbalanced="0"/>
    <cacheHierarchy uniqueName="[Emp_Info].[Performance Ratings]" caption="Performance Ratings" attribute="1" defaultMemberUniqueName="[Emp_Info].[Performance Ratings].[All]" allUniqueName="[Emp_Info].[Performance Ratings].[All]" dimensionUniqueName="[Emp_Info]" displayFolder="" count="2" memberValueDatatype="20" unbalanced="0">
      <fieldsUsage count="2">
        <fieldUsage x="-1"/>
        <fieldUsage x="1"/>
      </fieldsUsage>
    </cacheHierarchy>
    <cacheHierarchy uniqueName="[Emp_Info].[New_DoJ (Year)]" caption="New_DoJ (Year)" attribute="1" defaultMemberUniqueName="[Emp_Info].[New_DoJ (Year)].[All]" allUniqueName="[Emp_Info].[New_DoJ (Year)].[All]" dimensionUniqueName="[Emp_Info]" displayFolder="" count="0" memberValueDatatype="130" unbalanced="0"/>
    <cacheHierarchy uniqueName="[Emp_Info].[New_DoJ (Quarter)]" caption="New_DoJ (Quarter)" attribute="1" defaultMemberUniqueName="[Emp_Info].[New_DoJ (Quarter)].[All]" allUniqueName="[Emp_Info].[New_DoJ (Quarter)].[All]" dimensionUniqueName="[Emp_Info]" displayFolder="" count="0" memberValueDatatype="130" unbalanced="0"/>
    <cacheHierarchy uniqueName="[Emp_Info].[New_DoJ (Month)]" caption="New_DoJ (Month)" attribute="1" defaultMemberUniqueName="[Emp_Info].[New_DoJ (Month)].[All]" allUniqueName="[Emp_Info].[New_DoJ (Month)].[All]" dimensionUniqueName="[Emp_Info]" displayFolder="" count="0" memberValueDatatype="130" unbalanced="0"/>
    <cacheHierarchy uniqueName="[Emp_Info].[New_Last_Date (Year)]" caption="New_Last_Date (Year)" attribute="1" defaultMemberUniqueName="[Emp_Info].[New_Last_Date (Year)].[All]" allUniqueName="[Emp_Info].[New_Last_Date (Year)].[All]" dimensionUniqueName="[Emp_Info]" displayFolder="" count="0" memberValueDatatype="130" unbalanced="0"/>
    <cacheHierarchy uniqueName="[Emp_Info].[New_Last_Date (Quarter)]" caption="New_Last_Date (Quarter)" attribute="1" defaultMemberUniqueName="[Emp_Info].[New_Last_Date (Quarter)].[All]" allUniqueName="[Emp_Info].[New_Last_Date (Quarter)].[All]" dimensionUniqueName="[Emp_Info]" displayFolder="" count="0" memberValueDatatype="130" unbalanced="0"/>
    <cacheHierarchy uniqueName="[Emp_Info].[New_Last_Date (Month)]" caption="New_Last_Date (Month)" attribute="1" defaultMemberUniqueName="[Emp_Info].[New_Last_Date (Month)].[All]" allUniqueName="[Emp_Info].[New_Last_Date (Month)].[All]" dimensionUniqueName="[Emp_Info]" displayFolder="" count="0" memberValueDatatype="130" unbalanced="0"/>
    <cacheHierarchy uniqueName="[Emp_Info].[New_DoJ (Month Index)]" caption="New_DoJ (Month Index)" attribute="1" defaultMemberUniqueName="[Emp_Info].[New_DoJ (Month Index)].[All]" allUniqueName="[Emp_Info].[New_DoJ (Month Index)].[All]" dimensionUniqueName="[Emp_Info]" displayFolder="" count="0" memberValueDatatype="20" unbalanced="0" hidden="1"/>
    <cacheHierarchy uniqueName="[Emp_Info].[New_Last_Date (Month Index)]" caption="New_Last_Date (Month Index)" attribute="1" defaultMemberUniqueName="[Emp_Info].[New_Last_Date (Month Index)].[All]" allUniqueName="[Emp_Info].[New_Last_Date (Month Index)].[All]" dimensionUniqueName="[Emp_Info]" displayFolder="" count="0" memberValueDatatype="20" unbalanced="0" hidden="1"/>
    <cacheHierarchy uniqueName="[Measures].[__XL_Count Emp_Info]" caption="__XL_Count Emp_Info" measure="1" displayFolder="" measureGroup="Emp_Info" count="0" hidden="1"/>
    <cacheHierarchy uniqueName="[Measures].[__XL_Count Dep_Info]" caption="__XL_Count Dep_Info" measure="1" displayFolder="" measureGroup="Dep_Info" count="0" hidden="1"/>
    <cacheHierarchy uniqueName="[Measures].[__No measures defined]" caption="__No measures defined" measure="1" displayFolder="" count="0" hidden="1"/>
    <cacheHierarchy uniqueName="[Measures].[Sum of Emp_Id]" caption="Sum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Emp_Id]" caption="Count of Emp_Id" measure="1" displayFolder="" measureGroup="Emp_Inf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ary]" caption="Sum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Salary]" caption="Average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3">
    <dimension name="Dep_Info" uniqueName="[Dep_Info]" caption="Dep_Info"/>
    <dimension name="Emp_Info" uniqueName="[Emp_Info]" caption="Emp_Info"/>
    <dimension measure="1" name="Measures" uniqueName="[Measures]" caption="Measures"/>
  </dimensions>
  <measureGroups count="2">
    <measureGroup name="Dep_Info" caption="Dep_Info"/>
    <measureGroup name="Emp_Info" caption="Emp_Info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5856.501226967594" backgroundQuery="1" createdVersion="8" refreshedVersion="8" minRefreshableVersion="3" recordCount="0" supportSubquery="1" supportAdvancedDrill="1" xr:uid="{0F328E75-A57D-4E72-BF18-397410E52649}">
  <cacheSource type="external" connectionId="3"/>
  <cacheFields count="2">
    <cacheField name="[Dep_Info].[Dep_Name].[Dep_Name]" caption="Dep_Name" numFmtId="0" level="1">
      <sharedItems count="9">
        <s v="Customer Service"/>
        <s v="Development"/>
        <s v="Finance"/>
        <s v="Human Resources"/>
        <s v="Marketing"/>
        <s v="Production"/>
        <s v="Quality Management"/>
        <s v="Research"/>
        <s v="Sales"/>
      </sharedItems>
    </cacheField>
    <cacheField name="[Measures].[Average of Salary]" caption="Average of Salary" numFmtId="0" hierarchy="35" level="32767"/>
  </cacheFields>
  <cacheHierarchies count="36">
    <cacheHierarchy uniqueName="[Dep_Info].[Dep_Name]" caption="Dep_Name" attribute="1" defaultMemberUniqueName="[Dep_Info].[Dep_Name].[All]" allUniqueName="[Dep_Info].[Dep_Name].[All]" dimensionUniqueName="[Dep_Info]" displayFolder="" count="2" memberValueDatatype="130" unbalanced="0">
      <fieldsUsage count="2">
        <fieldUsage x="-1"/>
        <fieldUsage x="0"/>
      </fieldsUsage>
    </cacheHierarchy>
    <cacheHierarchy uniqueName="[Dep_Info].[Dept_Id]" caption="Dept_Id" attribute="1" defaultMemberUniqueName="[Dep_Info].[Dept_Id].[All]" allUniqueName="[Dep_Info].[Dept_Id].[All]" dimensionUniqueName="[Dep_Info]" displayFolder="" count="0" memberValueDatatype="130" unbalanced="0"/>
    <cacheHierarchy uniqueName="[Emp_Info].[Emp_Id]" caption="Emp_Id" attribute="1" defaultMemberUniqueName="[Emp_Info].[Emp_Id].[All]" allUniqueName="[Emp_Info].[Emp_Id].[All]" dimensionUniqueName="[Emp_Info]" displayFolder="" count="0" memberValueDatatype="20" unbalanced="0"/>
    <cacheHierarchy uniqueName="[Emp_Info].[DOB]" caption="DOB" attribute="1" defaultMemberUniqueName="[Emp_Info].[DOB].[All]" allUniqueName="[Emp_Info].[DOB].[All]" dimensionUniqueName="[Emp_Info]" displayFolder="" count="0" memberValueDatatype="130" unbalanced="0"/>
    <cacheHierarchy uniqueName="[Emp_Info].[first_name]" caption="first_name" attribute="1" defaultMemberUniqueName="[Emp_Info].[first_name].[All]" allUniqueName="[Emp_Info].[first_name].[All]" dimensionUniqueName="[Emp_Info]" displayFolder="" count="0" memberValueDatatype="130" unbalanced="0"/>
    <cacheHierarchy uniqueName="[Emp_Info].[last_name]" caption="last_name" attribute="1" defaultMemberUniqueName="[Emp_Info].[last_name].[All]" allUniqueName="[Emp_Info].[last_name].[All]" dimensionUniqueName="[Emp_Info]" displayFolder="" count="0" memberValueDatatype="130" unbalanced="0"/>
    <cacheHierarchy uniqueName="[Emp_Info].[Gender]" caption="Gender" attribute="1" defaultMemberUniqueName="[Emp_Info].[Gender].[All]" allUniqueName="[Emp_Info].[Gender].[All]" dimensionUniqueName="[Emp_Info]" displayFolder="" count="0" memberValueDatatype="130" unbalanced="0"/>
    <cacheHierarchy uniqueName="[Emp_Info].[DoJ]" caption="DoJ" attribute="1" time="1" defaultMemberUniqueName="[Emp_Info].[DoJ].[All]" allUniqueName="[Emp_Info].[DoJ].[All]" dimensionUniqueName="[Emp_Info]" displayFolder="" count="0" memberValueDatatype="7" unbalanced="0"/>
    <cacheHierarchy uniqueName="[Emp_Info].[no_of_projects]" caption="no_of_projects" attribute="1" defaultMemberUniqueName="[Emp_Info].[no_of_projects].[All]" allUniqueName="[Emp_Info].[no_of_projects].[All]" dimensionUniqueName="[Emp_Info]" displayFolder="" count="0" memberValueDatatype="20" unbalanced="0"/>
    <cacheHierarchy uniqueName="[Emp_Info].[Last_performance_rating]" caption="Last_performance_rating" attribute="1" defaultMemberUniqueName="[Emp_Info].[Last_performance_rating].[All]" allUniqueName="[Emp_Info].[Last_performance_rating].[All]" dimensionUniqueName="[Emp_Info]" displayFolder="" count="0" memberValueDatatype="130" unbalanced="0"/>
    <cacheHierarchy uniqueName="[Emp_Info].[Left?]" caption="Left?" attribute="1" defaultMemberUniqueName="[Emp_Info].[Left?].[All]" allUniqueName="[Emp_Info].[Left?].[All]" dimensionUniqueName="[Emp_Info]" displayFolder="" count="0" memberValueDatatype="20" unbalanced="0"/>
    <cacheHierarchy uniqueName="[Emp_Info].[last_date]" caption="last_date" attribute="1" defaultMemberUniqueName="[Emp_Info].[last_date].[All]" allUniqueName="[Emp_Info].[last_date].[All]" dimensionUniqueName="[Emp_Info]" displayFolder="" count="0" memberValueDatatype="130" unbalanced="0"/>
    <cacheHierarchy uniqueName="[Emp_Info].[Salary]" caption="Salary" attribute="1" defaultMemberUniqueName="[Emp_Info].[Salary].[All]" allUniqueName="[Emp_Info].[Salary].[All]" dimensionUniqueName="[Emp_Info]" displayFolder="" count="0" memberValueDatatype="20" unbalanced="0"/>
    <cacheHierarchy uniqueName="[Emp_Info].[Dept_Id]" caption="Dept_Id" attribute="1" defaultMemberUniqueName="[Emp_Info].[Dept_Id].[All]" allUniqueName="[Emp_Info].[Dept_Id].[All]" dimensionUniqueName="[Emp_Info]" displayFolder="" count="0" memberValueDatatype="130" unbalanced="0"/>
    <cacheHierarchy uniqueName="[Emp_Info].[Title]" caption="Title" attribute="1" defaultMemberUniqueName="[Emp_Info].[Title].[All]" allUniqueName="[Emp_Info].[Title].[All]" dimensionUniqueName="[Emp_Info]" displayFolder="" count="0" memberValueDatatype="130" unbalanced="0"/>
    <cacheHierarchy uniqueName="[Emp_Info].[New_Dob]" caption="New_Dob" attribute="1" time="1" defaultMemberUniqueName="[Emp_Info].[New_Dob].[All]" allUniqueName="[Emp_Info].[New_Dob].[All]" dimensionUniqueName="[Emp_Info]" displayFolder="" count="0" memberValueDatatype="7" unbalanced="0"/>
    <cacheHierarchy uniqueName="[Emp_Info].[New_DoJ]" caption="New_DoJ" attribute="1" time="1" defaultMemberUniqueName="[Emp_Info].[New_DoJ].[All]" allUniqueName="[Emp_Info].[New_DoJ].[All]" dimensionUniqueName="[Emp_Info]" displayFolder="" count="0" memberValueDatatype="7" unbalanced="0"/>
    <cacheHierarchy uniqueName="[Emp_Info].[New_Last_Date]" caption="New_Last_Date" attribute="1" time="1" defaultMemberUniqueName="[Emp_Info].[New_Last_Date].[All]" allUniqueName="[Emp_Info].[New_Last_Date].[All]" dimensionUniqueName="[Emp_Info]" displayFolder="" count="0" memberValueDatatype="7" unbalanced="0"/>
    <cacheHierarchy uniqueName="[Emp_Info].[Dept_Name]" caption="Dept_Name" attribute="1" defaultMemberUniqueName="[Emp_Info].[Dept_Name].[All]" allUniqueName="[Emp_Info].[Dept_Name].[All]" dimensionUniqueName="[Emp_Info]" displayFolder="" count="0" memberValueDatatype="130" unbalanced="0"/>
    <cacheHierarchy uniqueName="[Emp_Info].[Tenure?(yrs)]" caption="Tenure?(yrs)" attribute="1" defaultMemberUniqueName="[Emp_Info].[Tenure?(yrs)].[All]" allUniqueName="[Emp_Info].[Tenure?(yrs)].[All]" dimensionUniqueName="[Emp_Info]" displayFolder="" count="0" memberValueDatatype="5" unbalanced="0"/>
    <cacheHierarchy uniqueName="[Emp_Info].[Performance Ratings]" caption="Performance Ratings" attribute="1" defaultMemberUniqueName="[Emp_Info].[Performance Ratings].[All]" allUniqueName="[Emp_Info].[Performance Ratings].[All]" dimensionUniqueName="[Emp_Info]" displayFolder="" count="0" memberValueDatatype="20" unbalanced="0"/>
    <cacheHierarchy uniqueName="[Emp_Info].[New_DoJ (Year)]" caption="New_DoJ (Year)" attribute="1" defaultMemberUniqueName="[Emp_Info].[New_DoJ (Year)].[All]" allUniqueName="[Emp_Info].[New_DoJ (Year)].[All]" dimensionUniqueName="[Emp_Info]" displayFolder="" count="0" memberValueDatatype="130" unbalanced="0"/>
    <cacheHierarchy uniqueName="[Emp_Info].[New_DoJ (Quarter)]" caption="New_DoJ (Quarter)" attribute="1" defaultMemberUniqueName="[Emp_Info].[New_DoJ (Quarter)].[All]" allUniqueName="[Emp_Info].[New_DoJ (Quarter)].[All]" dimensionUniqueName="[Emp_Info]" displayFolder="" count="0" memberValueDatatype="130" unbalanced="0"/>
    <cacheHierarchy uniqueName="[Emp_Info].[New_DoJ (Month)]" caption="New_DoJ (Month)" attribute="1" defaultMemberUniqueName="[Emp_Info].[New_DoJ (Month)].[All]" allUniqueName="[Emp_Info].[New_DoJ (Month)].[All]" dimensionUniqueName="[Emp_Info]" displayFolder="" count="0" memberValueDatatype="130" unbalanced="0"/>
    <cacheHierarchy uniqueName="[Emp_Info].[New_Last_Date (Year)]" caption="New_Last_Date (Year)" attribute="1" defaultMemberUniqueName="[Emp_Info].[New_Last_Date (Year)].[All]" allUniqueName="[Emp_Info].[New_Last_Date (Year)].[All]" dimensionUniqueName="[Emp_Info]" displayFolder="" count="0" memberValueDatatype="130" unbalanced="0"/>
    <cacheHierarchy uniqueName="[Emp_Info].[New_Last_Date (Quarter)]" caption="New_Last_Date (Quarter)" attribute="1" defaultMemberUniqueName="[Emp_Info].[New_Last_Date (Quarter)].[All]" allUniqueName="[Emp_Info].[New_Last_Date (Quarter)].[All]" dimensionUniqueName="[Emp_Info]" displayFolder="" count="0" memberValueDatatype="130" unbalanced="0"/>
    <cacheHierarchy uniqueName="[Emp_Info].[New_Last_Date (Month)]" caption="New_Last_Date (Month)" attribute="1" defaultMemberUniqueName="[Emp_Info].[New_Last_Date (Month)].[All]" allUniqueName="[Emp_Info].[New_Last_Date (Month)].[All]" dimensionUniqueName="[Emp_Info]" displayFolder="" count="0" memberValueDatatype="130" unbalanced="0"/>
    <cacheHierarchy uniqueName="[Emp_Info].[New_DoJ (Month Index)]" caption="New_DoJ (Month Index)" attribute="1" defaultMemberUniqueName="[Emp_Info].[New_DoJ (Month Index)].[All]" allUniqueName="[Emp_Info].[New_DoJ (Month Index)].[All]" dimensionUniqueName="[Emp_Info]" displayFolder="" count="0" memberValueDatatype="20" unbalanced="0" hidden="1"/>
    <cacheHierarchy uniqueName="[Emp_Info].[New_Last_Date (Month Index)]" caption="New_Last_Date (Month Index)" attribute="1" defaultMemberUniqueName="[Emp_Info].[New_Last_Date (Month Index)].[All]" allUniqueName="[Emp_Info].[New_Last_Date (Month Index)].[All]" dimensionUniqueName="[Emp_Info]" displayFolder="" count="0" memberValueDatatype="20" unbalanced="0" hidden="1"/>
    <cacheHierarchy uniqueName="[Measures].[__XL_Count Emp_Info]" caption="__XL_Count Emp_Info" measure="1" displayFolder="" measureGroup="Emp_Info" count="0" hidden="1"/>
    <cacheHierarchy uniqueName="[Measures].[__XL_Count Dep_Info]" caption="__XL_Count Dep_Info" measure="1" displayFolder="" measureGroup="Dep_Info" count="0" hidden="1"/>
    <cacheHierarchy uniqueName="[Measures].[__No measures defined]" caption="__No measures defined" measure="1" displayFolder="" count="0" hidden="1"/>
    <cacheHierarchy uniqueName="[Measures].[Sum of Emp_Id]" caption="Sum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Emp_Id]" caption="Count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ary]" caption="Sum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Salary]" caption="Average of Salary" measure="1" displayFolder="" measureGroup="Emp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3">
    <dimension name="Dep_Info" uniqueName="[Dep_Info]" caption="Dep_Info"/>
    <dimension name="Emp_Info" uniqueName="[Emp_Info]" caption="Emp_Info"/>
    <dimension measure="1" name="Measures" uniqueName="[Measures]" caption="Measures"/>
  </dimensions>
  <measureGroups count="2">
    <measureGroup name="Dep_Info" caption="Dep_Info"/>
    <measureGroup name="Emp_Info" caption="Emp_Info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5856.501228356479" backgroundQuery="1" createdVersion="8" refreshedVersion="8" minRefreshableVersion="3" recordCount="0" supportSubquery="1" supportAdvancedDrill="1" xr:uid="{AC8CADE1-4152-4CBA-89DF-2EF500D6AAB9}">
  <cacheSource type="external" connectionId="3"/>
  <cacheFields count="3">
    <cacheField name="[Emp_Info].[Gender].[Gender]" caption="Gender" numFmtId="0" hierarchy="6" level="1">
      <sharedItems count="2">
        <s v="F"/>
        <s v="M"/>
      </sharedItems>
    </cacheField>
    <cacheField name="[Measures].[Average of Salary]" caption="Average of Salary" numFmtId="0" hierarchy="35" level="32767"/>
    <cacheField name="[Dep_Info].[Dep_Name].[Dep_Name]" caption="Dep_Name" numFmtId="0" level="1">
      <sharedItems count="9">
        <s v="Customer Service"/>
        <s v="Development"/>
        <s v="Finance"/>
        <s v="Human Resources"/>
        <s v="Marketing"/>
        <s v="Production"/>
        <s v="Quality Management"/>
        <s v="Research"/>
        <s v="Sales"/>
      </sharedItems>
    </cacheField>
  </cacheFields>
  <cacheHierarchies count="36">
    <cacheHierarchy uniqueName="[Dep_Info].[Dep_Name]" caption="Dep_Name" attribute="1" defaultMemberUniqueName="[Dep_Info].[Dep_Name].[All]" allUniqueName="[Dep_Info].[Dep_Name].[All]" dimensionUniqueName="[Dep_Info]" displayFolder="" count="2" memberValueDatatype="130" unbalanced="0">
      <fieldsUsage count="2">
        <fieldUsage x="-1"/>
        <fieldUsage x="2"/>
      </fieldsUsage>
    </cacheHierarchy>
    <cacheHierarchy uniqueName="[Dep_Info].[Dept_Id]" caption="Dept_Id" attribute="1" defaultMemberUniqueName="[Dep_Info].[Dept_Id].[All]" allUniqueName="[Dep_Info].[Dept_Id].[All]" dimensionUniqueName="[Dep_Info]" displayFolder="" count="0" memberValueDatatype="130" unbalanced="0"/>
    <cacheHierarchy uniqueName="[Emp_Info].[Emp_Id]" caption="Emp_Id" attribute="1" defaultMemberUniqueName="[Emp_Info].[Emp_Id].[All]" allUniqueName="[Emp_Info].[Emp_Id].[All]" dimensionUniqueName="[Emp_Info]" displayFolder="" count="0" memberValueDatatype="20" unbalanced="0"/>
    <cacheHierarchy uniqueName="[Emp_Info].[DOB]" caption="DOB" attribute="1" defaultMemberUniqueName="[Emp_Info].[DOB].[All]" allUniqueName="[Emp_Info].[DOB].[All]" dimensionUniqueName="[Emp_Info]" displayFolder="" count="0" memberValueDatatype="130" unbalanced="0"/>
    <cacheHierarchy uniqueName="[Emp_Info].[first_name]" caption="first_name" attribute="1" defaultMemberUniqueName="[Emp_Info].[first_name].[All]" allUniqueName="[Emp_Info].[first_name].[All]" dimensionUniqueName="[Emp_Info]" displayFolder="" count="0" memberValueDatatype="130" unbalanced="0"/>
    <cacheHierarchy uniqueName="[Emp_Info].[last_name]" caption="last_name" attribute="1" defaultMemberUniqueName="[Emp_Info].[last_name].[All]" allUniqueName="[Emp_Info].[last_name].[All]" dimensionUniqueName="[Emp_Info]" displayFolder="" count="0" memberValueDatatype="130" unbalanced="0"/>
    <cacheHierarchy uniqueName="[Emp_Info].[Gender]" caption="Gender" attribute="1" defaultMemberUniqueName="[Emp_Info].[Gender].[All]" allUniqueName="[Emp_Info].[Gender].[All]" dimensionUniqueName="[Emp_Info]" displayFolder="" count="2" memberValueDatatype="130" unbalanced="0">
      <fieldsUsage count="2">
        <fieldUsage x="-1"/>
        <fieldUsage x="0"/>
      </fieldsUsage>
    </cacheHierarchy>
    <cacheHierarchy uniqueName="[Emp_Info].[DoJ]" caption="DoJ" attribute="1" time="1" defaultMemberUniqueName="[Emp_Info].[DoJ].[All]" allUniqueName="[Emp_Info].[DoJ].[All]" dimensionUniqueName="[Emp_Info]" displayFolder="" count="0" memberValueDatatype="7" unbalanced="0"/>
    <cacheHierarchy uniqueName="[Emp_Info].[no_of_projects]" caption="no_of_projects" attribute="1" defaultMemberUniqueName="[Emp_Info].[no_of_projects].[All]" allUniqueName="[Emp_Info].[no_of_projects].[All]" dimensionUniqueName="[Emp_Info]" displayFolder="" count="0" memberValueDatatype="20" unbalanced="0"/>
    <cacheHierarchy uniqueName="[Emp_Info].[Last_performance_rating]" caption="Last_performance_rating" attribute="1" defaultMemberUniqueName="[Emp_Info].[Last_performance_rating].[All]" allUniqueName="[Emp_Info].[Last_performance_rating].[All]" dimensionUniqueName="[Emp_Info]" displayFolder="" count="0" memberValueDatatype="130" unbalanced="0"/>
    <cacheHierarchy uniqueName="[Emp_Info].[Left?]" caption="Left?" attribute="1" defaultMemberUniqueName="[Emp_Info].[Left?].[All]" allUniqueName="[Emp_Info].[Left?].[All]" dimensionUniqueName="[Emp_Info]" displayFolder="" count="0" memberValueDatatype="20" unbalanced="0"/>
    <cacheHierarchy uniqueName="[Emp_Info].[last_date]" caption="last_date" attribute="1" defaultMemberUniqueName="[Emp_Info].[last_date].[All]" allUniqueName="[Emp_Info].[last_date].[All]" dimensionUniqueName="[Emp_Info]" displayFolder="" count="0" memberValueDatatype="130" unbalanced="0"/>
    <cacheHierarchy uniqueName="[Emp_Info].[Salary]" caption="Salary" attribute="1" defaultMemberUniqueName="[Emp_Info].[Salary].[All]" allUniqueName="[Emp_Info].[Salary].[All]" dimensionUniqueName="[Emp_Info]" displayFolder="" count="0" memberValueDatatype="20" unbalanced="0"/>
    <cacheHierarchy uniqueName="[Emp_Info].[Dept_Id]" caption="Dept_Id" attribute="1" defaultMemberUniqueName="[Emp_Info].[Dept_Id].[All]" allUniqueName="[Emp_Info].[Dept_Id].[All]" dimensionUniqueName="[Emp_Info]" displayFolder="" count="0" memberValueDatatype="130" unbalanced="0"/>
    <cacheHierarchy uniqueName="[Emp_Info].[Title]" caption="Title" attribute="1" defaultMemberUniqueName="[Emp_Info].[Title].[All]" allUniqueName="[Emp_Info].[Title].[All]" dimensionUniqueName="[Emp_Info]" displayFolder="" count="0" memberValueDatatype="130" unbalanced="0"/>
    <cacheHierarchy uniqueName="[Emp_Info].[New_Dob]" caption="New_Dob" attribute="1" time="1" defaultMemberUniqueName="[Emp_Info].[New_Dob].[All]" allUniqueName="[Emp_Info].[New_Dob].[All]" dimensionUniqueName="[Emp_Info]" displayFolder="" count="0" memberValueDatatype="7" unbalanced="0"/>
    <cacheHierarchy uniqueName="[Emp_Info].[New_DoJ]" caption="New_DoJ" attribute="1" time="1" defaultMemberUniqueName="[Emp_Info].[New_DoJ].[All]" allUniqueName="[Emp_Info].[New_DoJ].[All]" dimensionUniqueName="[Emp_Info]" displayFolder="" count="0" memberValueDatatype="7" unbalanced="0"/>
    <cacheHierarchy uniqueName="[Emp_Info].[New_Last_Date]" caption="New_Last_Date" attribute="1" time="1" defaultMemberUniqueName="[Emp_Info].[New_Last_Date].[All]" allUniqueName="[Emp_Info].[New_Last_Date].[All]" dimensionUniqueName="[Emp_Info]" displayFolder="" count="0" memberValueDatatype="7" unbalanced="0"/>
    <cacheHierarchy uniqueName="[Emp_Info].[Dept_Name]" caption="Dept_Name" attribute="1" defaultMemberUniqueName="[Emp_Info].[Dept_Name].[All]" allUniqueName="[Emp_Info].[Dept_Name].[All]" dimensionUniqueName="[Emp_Info]" displayFolder="" count="0" memberValueDatatype="130" unbalanced="0"/>
    <cacheHierarchy uniqueName="[Emp_Info].[Tenure?(yrs)]" caption="Tenure?(yrs)" attribute="1" defaultMemberUniqueName="[Emp_Info].[Tenure?(yrs)].[All]" allUniqueName="[Emp_Info].[Tenure?(yrs)].[All]" dimensionUniqueName="[Emp_Info]" displayFolder="" count="0" memberValueDatatype="5" unbalanced="0"/>
    <cacheHierarchy uniqueName="[Emp_Info].[Performance Ratings]" caption="Performance Ratings" attribute="1" defaultMemberUniqueName="[Emp_Info].[Performance Ratings].[All]" allUniqueName="[Emp_Info].[Performance Ratings].[All]" dimensionUniqueName="[Emp_Info]" displayFolder="" count="0" memberValueDatatype="20" unbalanced="0"/>
    <cacheHierarchy uniqueName="[Emp_Info].[New_DoJ (Year)]" caption="New_DoJ (Year)" attribute="1" defaultMemberUniqueName="[Emp_Info].[New_DoJ (Year)].[All]" allUniqueName="[Emp_Info].[New_DoJ (Year)].[All]" dimensionUniqueName="[Emp_Info]" displayFolder="" count="0" memberValueDatatype="130" unbalanced="0"/>
    <cacheHierarchy uniqueName="[Emp_Info].[New_DoJ (Quarter)]" caption="New_DoJ (Quarter)" attribute="1" defaultMemberUniqueName="[Emp_Info].[New_DoJ (Quarter)].[All]" allUniqueName="[Emp_Info].[New_DoJ (Quarter)].[All]" dimensionUniqueName="[Emp_Info]" displayFolder="" count="0" memberValueDatatype="130" unbalanced="0"/>
    <cacheHierarchy uniqueName="[Emp_Info].[New_DoJ (Month)]" caption="New_DoJ (Month)" attribute="1" defaultMemberUniqueName="[Emp_Info].[New_DoJ (Month)].[All]" allUniqueName="[Emp_Info].[New_DoJ (Month)].[All]" dimensionUniqueName="[Emp_Info]" displayFolder="" count="0" memberValueDatatype="130" unbalanced="0"/>
    <cacheHierarchy uniqueName="[Emp_Info].[New_Last_Date (Year)]" caption="New_Last_Date (Year)" attribute="1" defaultMemberUniqueName="[Emp_Info].[New_Last_Date (Year)].[All]" allUniqueName="[Emp_Info].[New_Last_Date (Year)].[All]" dimensionUniqueName="[Emp_Info]" displayFolder="" count="0" memberValueDatatype="130" unbalanced="0"/>
    <cacheHierarchy uniqueName="[Emp_Info].[New_Last_Date (Quarter)]" caption="New_Last_Date (Quarter)" attribute="1" defaultMemberUniqueName="[Emp_Info].[New_Last_Date (Quarter)].[All]" allUniqueName="[Emp_Info].[New_Last_Date (Quarter)].[All]" dimensionUniqueName="[Emp_Info]" displayFolder="" count="0" memberValueDatatype="130" unbalanced="0"/>
    <cacheHierarchy uniqueName="[Emp_Info].[New_Last_Date (Month)]" caption="New_Last_Date (Month)" attribute="1" defaultMemberUniqueName="[Emp_Info].[New_Last_Date (Month)].[All]" allUniqueName="[Emp_Info].[New_Last_Date (Month)].[All]" dimensionUniqueName="[Emp_Info]" displayFolder="" count="0" memberValueDatatype="130" unbalanced="0"/>
    <cacheHierarchy uniqueName="[Emp_Info].[New_DoJ (Month Index)]" caption="New_DoJ (Month Index)" attribute="1" defaultMemberUniqueName="[Emp_Info].[New_DoJ (Month Index)].[All]" allUniqueName="[Emp_Info].[New_DoJ (Month Index)].[All]" dimensionUniqueName="[Emp_Info]" displayFolder="" count="0" memberValueDatatype="20" unbalanced="0" hidden="1"/>
    <cacheHierarchy uniqueName="[Emp_Info].[New_Last_Date (Month Index)]" caption="New_Last_Date (Month Index)" attribute="1" defaultMemberUniqueName="[Emp_Info].[New_Last_Date (Month Index)].[All]" allUniqueName="[Emp_Info].[New_Last_Date (Month Index)].[All]" dimensionUniqueName="[Emp_Info]" displayFolder="" count="0" memberValueDatatype="20" unbalanced="0" hidden="1"/>
    <cacheHierarchy uniqueName="[Measures].[__XL_Count Emp_Info]" caption="__XL_Count Emp_Info" measure="1" displayFolder="" measureGroup="Emp_Info" count="0" hidden="1"/>
    <cacheHierarchy uniqueName="[Measures].[__XL_Count Dep_Info]" caption="__XL_Count Dep_Info" measure="1" displayFolder="" measureGroup="Dep_Info" count="0" hidden="1"/>
    <cacheHierarchy uniqueName="[Measures].[__No measures defined]" caption="__No measures defined" measure="1" displayFolder="" count="0" hidden="1"/>
    <cacheHierarchy uniqueName="[Measures].[Sum of Emp_Id]" caption="Sum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Emp_Id]" caption="Count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ary]" caption="Sum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Salary]" caption="Average of Salary" measure="1" displayFolder="" measureGroup="Emp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3">
    <dimension name="Dep_Info" uniqueName="[Dep_Info]" caption="Dep_Info"/>
    <dimension name="Emp_Info" uniqueName="[Emp_Info]" caption="Emp_Info"/>
    <dimension measure="1" name="Measures" uniqueName="[Measures]" caption="Measures"/>
  </dimensions>
  <measureGroups count="2">
    <measureGroup name="Dep_Info" caption="Dep_Info"/>
    <measureGroup name="Emp_Info" caption="Emp_Info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5856.502289699078" backgroundQuery="1" createdVersion="8" refreshedVersion="8" minRefreshableVersion="3" recordCount="0" supportSubquery="1" supportAdvancedDrill="1" xr:uid="{FC88BFBA-48E1-403B-93EE-C7E19427010E}">
  <cacheSource type="external" connectionId="3"/>
  <cacheFields count="4">
    <cacheField name="[Measures].[Count of Emp_Id]" caption="Count of Emp_Id" numFmtId="0" hierarchy="33" level="32767"/>
    <cacheField name="[Emp_Info].[New_Last_Date (Year)].[New_Last_Date (Year)]" caption="New_Last_Date (Year)" numFmtId="0" hierarchy="24" level="1">
      <sharedItems count="2">
        <s v="2007"/>
        <s v="2009"/>
      </sharedItems>
    </cacheField>
    <cacheField name="[Dep_Info].[Dep_Name].[Dep_Name]" caption="Dep_Name" numFmtId="0" level="1">
      <sharedItems count="6">
        <s v="Customer Service"/>
        <s v="Development"/>
        <s v="Human Resources"/>
        <s v="Production"/>
        <s v="Quality Management"/>
        <s v="Research"/>
      </sharedItems>
    </cacheField>
    <cacheField name="[Emp_Info].[New_DoJ (Year)].[New_DoJ (Year)]" caption="New_DoJ (Year)" numFmtId="0" hierarchy="21" level="1">
      <sharedItems containsSemiMixedTypes="0" containsNonDate="0" containsString="0"/>
    </cacheField>
  </cacheFields>
  <cacheHierarchies count="36">
    <cacheHierarchy uniqueName="[Dep_Info].[Dep_Name]" caption="Dep_Name" attribute="1" defaultMemberUniqueName="[Dep_Info].[Dep_Name].[All]" allUniqueName="[Dep_Info].[Dep_Name].[All]" dimensionUniqueName="[Dep_Info]" displayFolder="" count="2" memberValueDatatype="130" unbalanced="0">
      <fieldsUsage count="2">
        <fieldUsage x="-1"/>
        <fieldUsage x="2"/>
      </fieldsUsage>
    </cacheHierarchy>
    <cacheHierarchy uniqueName="[Dep_Info].[Dept_Id]" caption="Dept_Id" attribute="1" defaultMemberUniqueName="[Dep_Info].[Dept_Id].[All]" allUniqueName="[Dep_Info].[Dept_Id].[All]" dimensionUniqueName="[Dep_Info]" displayFolder="" count="0" memberValueDatatype="130" unbalanced="0"/>
    <cacheHierarchy uniqueName="[Emp_Info].[Emp_Id]" caption="Emp_Id" attribute="1" defaultMemberUniqueName="[Emp_Info].[Emp_Id].[All]" allUniqueName="[Emp_Info].[Emp_Id].[All]" dimensionUniqueName="[Emp_Info]" displayFolder="" count="0" memberValueDatatype="20" unbalanced="0"/>
    <cacheHierarchy uniqueName="[Emp_Info].[DOB]" caption="DOB" attribute="1" defaultMemberUniqueName="[Emp_Info].[DOB].[All]" allUniqueName="[Emp_Info].[DOB].[All]" dimensionUniqueName="[Emp_Info]" displayFolder="" count="0" memberValueDatatype="130" unbalanced="0"/>
    <cacheHierarchy uniqueName="[Emp_Info].[first_name]" caption="first_name" attribute="1" defaultMemberUniqueName="[Emp_Info].[first_name].[All]" allUniqueName="[Emp_Info].[first_name].[All]" dimensionUniqueName="[Emp_Info]" displayFolder="" count="0" memberValueDatatype="130" unbalanced="0"/>
    <cacheHierarchy uniqueName="[Emp_Info].[last_name]" caption="last_name" attribute="1" defaultMemberUniqueName="[Emp_Info].[last_name].[All]" allUniqueName="[Emp_Info].[last_name].[All]" dimensionUniqueName="[Emp_Info]" displayFolder="" count="0" memberValueDatatype="130" unbalanced="0"/>
    <cacheHierarchy uniqueName="[Emp_Info].[Gender]" caption="Gender" attribute="1" defaultMemberUniqueName="[Emp_Info].[Gender].[All]" allUniqueName="[Emp_Info].[Gender].[All]" dimensionUniqueName="[Emp_Info]" displayFolder="" count="0" memberValueDatatype="130" unbalanced="0"/>
    <cacheHierarchy uniqueName="[Emp_Info].[DoJ]" caption="DoJ" attribute="1" time="1" defaultMemberUniqueName="[Emp_Info].[DoJ].[All]" allUniqueName="[Emp_Info].[DoJ].[All]" dimensionUniqueName="[Emp_Info]" displayFolder="" count="0" memberValueDatatype="7" unbalanced="0"/>
    <cacheHierarchy uniqueName="[Emp_Info].[no_of_projects]" caption="no_of_projects" attribute="1" defaultMemberUniqueName="[Emp_Info].[no_of_projects].[All]" allUniqueName="[Emp_Info].[no_of_projects].[All]" dimensionUniqueName="[Emp_Info]" displayFolder="" count="0" memberValueDatatype="20" unbalanced="0"/>
    <cacheHierarchy uniqueName="[Emp_Info].[Last_performance_rating]" caption="Last_performance_rating" attribute="1" defaultMemberUniqueName="[Emp_Info].[Last_performance_rating].[All]" allUniqueName="[Emp_Info].[Last_performance_rating].[All]" dimensionUniqueName="[Emp_Info]" displayFolder="" count="0" memberValueDatatype="130" unbalanced="0"/>
    <cacheHierarchy uniqueName="[Emp_Info].[Left?]" caption="Left?" attribute="1" defaultMemberUniqueName="[Emp_Info].[Left?].[All]" allUniqueName="[Emp_Info].[Left?].[All]" dimensionUniqueName="[Emp_Info]" displayFolder="" count="0" memberValueDatatype="20" unbalanced="0"/>
    <cacheHierarchy uniqueName="[Emp_Info].[last_date]" caption="last_date" attribute="1" defaultMemberUniqueName="[Emp_Info].[last_date].[All]" allUniqueName="[Emp_Info].[last_date].[All]" dimensionUniqueName="[Emp_Info]" displayFolder="" count="0" memberValueDatatype="130" unbalanced="0"/>
    <cacheHierarchy uniqueName="[Emp_Info].[Salary]" caption="Salary" attribute="1" defaultMemberUniqueName="[Emp_Info].[Salary].[All]" allUniqueName="[Emp_Info].[Salary].[All]" dimensionUniqueName="[Emp_Info]" displayFolder="" count="0" memberValueDatatype="20" unbalanced="0"/>
    <cacheHierarchy uniqueName="[Emp_Info].[Dept_Id]" caption="Dept_Id" attribute="1" defaultMemberUniqueName="[Emp_Info].[Dept_Id].[All]" allUniqueName="[Emp_Info].[Dept_Id].[All]" dimensionUniqueName="[Emp_Info]" displayFolder="" count="0" memberValueDatatype="130" unbalanced="0"/>
    <cacheHierarchy uniqueName="[Emp_Info].[Title]" caption="Title" attribute="1" defaultMemberUniqueName="[Emp_Info].[Title].[All]" allUniqueName="[Emp_Info].[Title].[All]" dimensionUniqueName="[Emp_Info]" displayFolder="" count="0" memberValueDatatype="130" unbalanced="0"/>
    <cacheHierarchy uniqueName="[Emp_Info].[New_Dob]" caption="New_Dob" attribute="1" time="1" defaultMemberUniqueName="[Emp_Info].[New_Dob].[All]" allUniqueName="[Emp_Info].[New_Dob].[All]" dimensionUniqueName="[Emp_Info]" displayFolder="" count="0" memberValueDatatype="7" unbalanced="0"/>
    <cacheHierarchy uniqueName="[Emp_Info].[New_DoJ]" caption="New_DoJ" attribute="1" time="1" defaultMemberUniqueName="[Emp_Info].[New_DoJ].[All]" allUniqueName="[Emp_Info].[New_DoJ].[All]" dimensionUniqueName="[Emp_Info]" displayFolder="" count="0" memberValueDatatype="7" unbalanced="0"/>
    <cacheHierarchy uniqueName="[Emp_Info].[New_Last_Date]" caption="New_Last_Date" attribute="1" time="1" defaultMemberUniqueName="[Emp_Info].[New_Last_Date].[All]" allUniqueName="[Emp_Info].[New_Last_Date].[All]" dimensionUniqueName="[Emp_Info]" displayFolder="" count="2" memberValueDatatype="7" unbalanced="0"/>
    <cacheHierarchy uniqueName="[Emp_Info].[Dept_Name]" caption="Dept_Name" attribute="1" defaultMemberUniqueName="[Emp_Info].[Dept_Name].[All]" allUniqueName="[Emp_Info].[Dept_Name].[All]" dimensionUniqueName="[Emp_Info]" displayFolder="" count="0" memberValueDatatype="130" unbalanced="0"/>
    <cacheHierarchy uniqueName="[Emp_Info].[Tenure?(yrs)]" caption="Tenure?(yrs)" attribute="1" defaultMemberUniqueName="[Emp_Info].[Tenure?(yrs)].[All]" allUniqueName="[Emp_Info].[Tenure?(yrs)].[All]" dimensionUniqueName="[Emp_Info]" displayFolder="" count="0" memberValueDatatype="5" unbalanced="0"/>
    <cacheHierarchy uniqueName="[Emp_Info].[Performance Ratings]" caption="Performance Ratings" attribute="1" defaultMemberUniqueName="[Emp_Info].[Performance Ratings].[All]" allUniqueName="[Emp_Info].[Performance Ratings].[All]" dimensionUniqueName="[Emp_Info]" displayFolder="" count="0" memberValueDatatype="20" unbalanced="0"/>
    <cacheHierarchy uniqueName="[Emp_Info].[New_DoJ (Year)]" caption="New_DoJ (Year)" attribute="1" defaultMemberUniqueName="[Emp_Info].[New_DoJ (Year)].[All]" allUniqueName="[Emp_Info].[New_DoJ (Year)].[All]" dimensionUniqueName="[Emp_Info]" displayFolder="" count="2" memberValueDatatype="130" unbalanced="0">
      <fieldsUsage count="2">
        <fieldUsage x="-1"/>
        <fieldUsage x="3"/>
      </fieldsUsage>
    </cacheHierarchy>
    <cacheHierarchy uniqueName="[Emp_Info].[New_DoJ (Quarter)]" caption="New_DoJ (Quarter)" attribute="1" defaultMemberUniqueName="[Emp_Info].[New_DoJ (Quarter)].[All]" allUniqueName="[Emp_Info].[New_DoJ (Quarter)].[All]" dimensionUniqueName="[Emp_Info]" displayFolder="" count="0" memberValueDatatype="130" unbalanced="0"/>
    <cacheHierarchy uniqueName="[Emp_Info].[New_DoJ (Month)]" caption="New_DoJ (Month)" attribute="1" defaultMemberUniqueName="[Emp_Info].[New_DoJ (Month)].[All]" allUniqueName="[Emp_Info].[New_DoJ (Month)].[All]" dimensionUniqueName="[Emp_Info]" displayFolder="" count="0" memberValueDatatype="130" unbalanced="0"/>
    <cacheHierarchy uniqueName="[Emp_Info].[New_Last_Date (Year)]" caption="New_Last_Date (Year)" attribute="1" defaultMemberUniqueName="[Emp_Info].[New_Last_Date (Year)].[All]" allUniqueName="[Emp_Info].[New_Last_Date (Year)].[All]" dimensionUniqueName="[Emp_Info]" displayFolder="" count="2" memberValueDatatype="130" unbalanced="0">
      <fieldsUsage count="2">
        <fieldUsage x="-1"/>
        <fieldUsage x="1"/>
      </fieldsUsage>
    </cacheHierarchy>
    <cacheHierarchy uniqueName="[Emp_Info].[New_Last_Date (Quarter)]" caption="New_Last_Date (Quarter)" attribute="1" defaultMemberUniqueName="[Emp_Info].[New_Last_Date (Quarter)].[All]" allUniqueName="[Emp_Info].[New_Last_Date (Quarter)].[All]" dimensionUniqueName="[Emp_Info]" displayFolder="" count="2" memberValueDatatype="130" unbalanced="0"/>
    <cacheHierarchy uniqueName="[Emp_Info].[New_Last_Date (Month)]" caption="New_Last_Date (Month)" attribute="1" defaultMemberUniqueName="[Emp_Info].[New_Last_Date (Month)].[All]" allUniqueName="[Emp_Info].[New_Last_Date (Month)].[All]" dimensionUniqueName="[Emp_Info]" displayFolder="" count="2" memberValueDatatype="130" unbalanced="0"/>
    <cacheHierarchy uniqueName="[Emp_Info].[New_DoJ (Month Index)]" caption="New_DoJ (Month Index)" attribute="1" defaultMemberUniqueName="[Emp_Info].[New_DoJ (Month Index)].[All]" allUniqueName="[Emp_Info].[New_DoJ (Month Index)].[All]" dimensionUniqueName="[Emp_Info]" displayFolder="" count="0" memberValueDatatype="20" unbalanced="0" hidden="1"/>
    <cacheHierarchy uniqueName="[Emp_Info].[New_Last_Date (Month Index)]" caption="New_Last_Date (Month Index)" attribute="1" defaultMemberUniqueName="[Emp_Info].[New_Last_Date (Month Index)].[All]" allUniqueName="[Emp_Info].[New_Last_Date (Month Index)].[All]" dimensionUniqueName="[Emp_Info]" displayFolder="" count="0" memberValueDatatype="20" unbalanced="0" hidden="1"/>
    <cacheHierarchy uniqueName="[Measures].[__XL_Count Emp_Info]" caption="__XL_Count Emp_Info" measure="1" displayFolder="" measureGroup="Emp_Info" count="0" hidden="1"/>
    <cacheHierarchy uniqueName="[Measures].[__XL_Count Dep_Info]" caption="__XL_Count Dep_Info" measure="1" displayFolder="" measureGroup="Dep_Info" count="0" hidden="1"/>
    <cacheHierarchy uniqueName="[Measures].[__No measures defined]" caption="__No measures defined" measure="1" displayFolder="" count="0" hidden="1"/>
    <cacheHierarchy uniqueName="[Measures].[Sum of Emp_Id]" caption="Sum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Emp_Id]" caption="Count of Emp_Id" measure="1" displayFolder="" measureGroup="Emp_Inf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ary]" caption="Sum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Salary]" caption="Average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3">
    <dimension name="Dep_Info" uniqueName="[Dep_Info]" caption="Dep_Info"/>
    <dimension name="Emp_Info" uniqueName="[Emp_Info]" caption="Emp_Info"/>
    <dimension measure="1" name="Measures" uniqueName="[Measures]" caption="Measures"/>
  </dimensions>
  <measureGroups count="2">
    <measureGroup name="Dep_Info" caption="Dep_Info"/>
    <measureGroup name="Emp_Info" caption="Emp_Info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856.508536226851" createdVersion="8" refreshedVersion="8" minRefreshableVersion="3" recordCount="500" xr:uid="{9F91A5A1-3EE8-4182-B718-E9858587DD97}">
  <cacheSource type="worksheet">
    <worksheetSource name="Table1"/>
  </cacheSource>
  <cacheFields count="20">
    <cacheField name="Emp_Id" numFmtId="0">
      <sharedItems containsSemiMixedTypes="0" containsString="0" containsNumber="1" containsInteger="1" minValue="10001" maxValue="469619"/>
    </cacheField>
    <cacheField name="DOB" numFmtId="0">
      <sharedItems/>
    </cacheField>
    <cacheField name="first_name" numFmtId="0">
      <sharedItems/>
    </cacheField>
    <cacheField name="last_name" numFmtId="0">
      <sharedItems/>
    </cacheField>
    <cacheField name="Gender" numFmtId="0">
      <sharedItems/>
    </cacheField>
    <cacheField name="DoJ" numFmtId="14">
      <sharedItems containsSemiMixedTypes="0" containsNonDate="0" containsDate="1" containsString="0" minDate="1985-02-15T00:00:00" maxDate="1999-09-15T00:00:00"/>
    </cacheField>
    <cacheField name="no_of_projects" numFmtId="0">
      <sharedItems containsSemiMixedTypes="0" containsString="0" containsNumber="1" containsInteger="1" minValue="1" maxValue="10"/>
    </cacheField>
    <cacheField name="Last_performance_rating" numFmtId="0">
      <sharedItems/>
    </cacheField>
    <cacheField name="Left?" numFmtId="0">
      <sharedItems containsSemiMixedTypes="0" containsString="0" containsNumber="1" containsInteger="1" minValue="0" maxValue="1"/>
    </cacheField>
    <cacheField name="last_date" numFmtId="0">
      <sharedItems containsBlank="1"/>
    </cacheField>
    <cacheField name="Salary" numFmtId="164">
      <sharedItems containsSemiMixedTypes="0" containsString="0" containsNumber="1" containsInteger="1" minValue="40000" maxValue="100715"/>
    </cacheField>
    <cacheField name="Dept_Id" numFmtId="0">
      <sharedItems count="9">
        <s v="d005"/>
        <s v="d004"/>
        <s v="d007"/>
        <s v="d003"/>
        <s v="d008"/>
        <s v="d006"/>
        <s v="d009"/>
        <s v="d002"/>
        <s v="d001"/>
      </sharedItems>
    </cacheField>
    <cacheField name="Title" numFmtId="0">
      <sharedItems/>
    </cacheField>
    <cacheField name="New_Dob" numFmtId="14">
      <sharedItems containsSemiMixedTypes="0" containsNonDate="0" containsDate="1" containsString="0" minDate="1952-02-10T00:00:00" maxDate="1965-02-02T00:00:00"/>
    </cacheField>
    <cacheField name="New_DoJ" numFmtId="14">
      <sharedItems containsSemiMixedTypes="0" containsNonDate="0" containsDate="1" containsString="0" minDate="1985-02-15T00:00:00" maxDate="1999-09-15T00:00:00"/>
    </cacheField>
    <cacheField name="New_Last_Date" numFmtId="0">
      <sharedItems containsNonDate="0" containsDate="1" containsString="0" containsBlank="1" minDate="1987-08-19T00:00:00" maxDate="2009-06-17T00:00:00"/>
    </cacheField>
    <cacheField name="Dept_Name" numFmtId="0">
      <sharedItems/>
    </cacheField>
    <cacheField name="Tenure?(yrs)" numFmtId="2">
      <sharedItems containsMixedTypes="1" containsNumber="1" minValue="1.4674880219028064" maxValue="13.656399726214921"/>
    </cacheField>
    <cacheField name="Performance Ratings" numFmtId="0">
      <sharedItems containsSemiMixedTypes="0" containsString="0" containsNumber="1" containsInteger="1" minValue="1" maxValue="5"/>
    </cacheField>
    <cacheField name="Joined in Last 2 years?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01"/>
    <s v="9/2/1953"/>
    <s v="Georgi"/>
    <s v="Facello"/>
    <s v="M"/>
    <d v="1986-06-26T00:00:00"/>
    <n v="9"/>
    <s v="C"/>
    <n v="1"/>
    <s v="7/30/1994"/>
    <n v="60117"/>
    <x v="0"/>
    <s v="Senior Engineer"/>
    <d v="1953-09-02T00:00:00"/>
    <d v="1986-06-26T00:00:00"/>
    <d v="1994-07-30T00:00:00"/>
    <s v="Development"/>
    <n v="8.0930869267624921"/>
    <n v="2"/>
    <x v="0"/>
  </r>
  <r>
    <n v="10003"/>
    <s v="12/3/1959"/>
    <s v="Parto"/>
    <s v="Bamford"/>
    <s v="M"/>
    <d v="1986-08-28T00:00:00"/>
    <n v="1"/>
    <s v="C"/>
    <n v="0"/>
    <m/>
    <n v="40006"/>
    <x v="1"/>
    <s v="Senior Engineer"/>
    <d v="1959-12-03T00:00:00"/>
    <d v="1986-08-28T00:00:00"/>
    <m/>
    <s v="Production"/>
    <s v=""/>
    <n v="2"/>
    <x v="0"/>
  </r>
  <r>
    <n v="10004"/>
    <s v="5/1/1954"/>
    <s v="Chirstian"/>
    <s v="Koblick"/>
    <s v="M"/>
    <d v="1986-12-01T00:00:00"/>
    <n v="5"/>
    <s v="A"/>
    <n v="0"/>
    <s v=""/>
    <n v="40054"/>
    <x v="1"/>
    <s v="Senior Engineer"/>
    <d v="1954-05-01T00:00:00"/>
    <d v="1986-12-01T00:00:00"/>
    <m/>
    <s v="Production"/>
    <s v=""/>
    <n v="4"/>
    <x v="0"/>
  </r>
  <r>
    <n v="10006"/>
    <s v="4/20/1953"/>
    <s v="Anneke"/>
    <s v="Preusig"/>
    <s v="F"/>
    <d v="1989-06-02T00:00:00"/>
    <n v="10"/>
    <s v="B"/>
    <n v="0"/>
    <s v=""/>
    <n v="40000"/>
    <x v="0"/>
    <s v="Senior Engineer"/>
    <d v="1953-04-20T00:00:00"/>
    <d v="1989-06-02T00:00:00"/>
    <m/>
    <s v="Development"/>
    <s v=""/>
    <n v="3"/>
    <x v="0"/>
  </r>
  <r>
    <n v="10002"/>
    <s v="6/2/1964"/>
    <s v="Bezalel"/>
    <s v="Simmel"/>
    <s v="F"/>
    <d v="1985-11-21T00:00:00"/>
    <n v="8"/>
    <s v="B"/>
    <n v="0"/>
    <m/>
    <n v="65828"/>
    <x v="2"/>
    <s v="Staff"/>
    <d v="1964-06-02T00:00:00"/>
    <d v="1985-11-21T00:00:00"/>
    <m/>
    <s v="Sales"/>
    <s v=""/>
    <n v="3"/>
    <x v="0"/>
  </r>
  <r>
    <n v="10005"/>
    <s v="1/21/1955"/>
    <s v="Kyoichi"/>
    <s v="Maliniak"/>
    <s v="M"/>
    <d v="1989-09-12T00:00:00"/>
    <n v="6"/>
    <s v="A"/>
    <n v="0"/>
    <m/>
    <n v="78228"/>
    <x v="3"/>
    <s v="Staff"/>
    <d v="1955-01-21T00:00:00"/>
    <d v="1989-09-12T00:00:00"/>
    <m/>
    <s v="Human Resources"/>
    <s v=""/>
    <n v="4"/>
    <x v="0"/>
  </r>
  <r>
    <n v="421786"/>
    <s v="9/28/1957"/>
    <s v="Xiong"/>
    <s v="Verhoeff"/>
    <s v="M"/>
    <d v="1987-11-26T00:00:00"/>
    <n v="2"/>
    <s v="C"/>
    <n v="0"/>
    <s v=""/>
    <n v="40000"/>
    <x v="3"/>
    <s v="Staff"/>
    <d v="1957-09-28T00:00:00"/>
    <d v="1987-11-26T00:00:00"/>
    <m/>
    <s v="Human Resources"/>
    <s v=""/>
    <n v="2"/>
    <x v="0"/>
  </r>
  <r>
    <n v="57444"/>
    <s v="1/30/1958"/>
    <s v="Berry"/>
    <s v="Babb"/>
    <s v="F"/>
    <d v="1992-03-21T00:00:00"/>
    <n v="9"/>
    <s v="A"/>
    <n v="0"/>
    <s v=""/>
    <n v="48973"/>
    <x v="1"/>
    <s v="Engineer"/>
    <d v="1958-01-30T00:00:00"/>
    <d v="1992-03-21T00:00:00"/>
    <m/>
    <s v="Production"/>
    <s v=""/>
    <n v="4"/>
    <x v="0"/>
  </r>
  <r>
    <n v="10007"/>
    <s v="5/23/1957"/>
    <s v="Tzvetan"/>
    <s v="Zielinski"/>
    <s v="F"/>
    <d v="1989-02-10T00:00:00"/>
    <n v="6"/>
    <s v="B"/>
    <n v="1"/>
    <s v="9/18/2002"/>
    <n v="56724"/>
    <x v="4"/>
    <s v="Staff"/>
    <d v="1957-05-23T00:00:00"/>
    <d v="1989-02-10T00:00:00"/>
    <d v="2002-09-18T00:00:00"/>
    <s v="Research"/>
    <n v="13.60164271047228"/>
    <n v="3"/>
    <x v="0"/>
  </r>
  <r>
    <n v="10008"/>
    <s v="2/19/1958"/>
    <s v="Saniya"/>
    <s v="Kalloufi"/>
    <s v="M"/>
    <d v="1994-09-15T00:00:00"/>
    <n v="9"/>
    <s v="C"/>
    <n v="0"/>
    <s v=""/>
    <n v="46671"/>
    <x v="0"/>
    <s v="Assistant Engineer"/>
    <d v="1958-02-19T00:00:00"/>
    <d v="1994-09-15T00:00:00"/>
    <m/>
    <s v="Development"/>
    <s v=""/>
    <n v="2"/>
    <x v="0"/>
  </r>
  <r>
    <n v="282238"/>
    <s v="10/28/1952"/>
    <s v="Abdelkader"/>
    <s v="Baumann"/>
    <s v="F"/>
    <d v="1991-01-18T00:00:00"/>
    <n v="6"/>
    <s v="B"/>
    <n v="0"/>
    <s v=""/>
    <n v="40000"/>
    <x v="5"/>
    <s v="Senior Engineer"/>
    <d v="1952-10-28T00:00:00"/>
    <d v="1991-01-18T00:00:00"/>
    <m/>
    <s v="Quality Management"/>
    <s v=""/>
    <n v="3"/>
    <x v="0"/>
  </r>
  <r>
    <n v="10009"/>
    <s v="4/19/1952"/>
    <s v="Sumant"/>
    <s v="Peac"/>
    <s v="F"/>
    <d v="1985-02-18T00:00:00"/>
    <n v="8"/>
    <s v="B"/>
    <n v="0"/>
    <s v=""/>
    <n v="60929"/>
    <x v="5"/>
    <s v="Senior Engineer"/>
    <d v="1952-04-19T00:00:00"/>
    <d v="1985-02-18T00:00:00"/>
    <m/>
    <s v="Quality Management"/>
    <s v=""/>
    <n v="3"/>
    <x v="0"/>
  </r>
  <r>
    <n v="10010"/>
    <s v="6/1/1963"/>
    <s v="Duangkaew"/>
    <s v="Piveteau"/>
    <s v="F"/>
    <d v="1989-08-24T00:00:00"/>
    <n v="4"/>
    <s v="A"/>
    <n v="0"/>
    <s v=""/>
    <n v="72488"/>
    <x v="1"/>
    <s v="Engineer"/>
    <d v="1963-06-01T00:00:00"/>
    <d v="1989-08-24T00:00:00"/>
    <m/>
    <s v="Production"/>
    <s v=""/>
    <n v="4"/>
    <x v="0"/>
  </r>
  <r>
    <n v="10010"/>
    <s v="6/1/1963"/>
    <s v="Duangkaew"/>
    <s v="Piveteau"/>
    <s v="F"/>
    <d v="1989-08-24T00:00:00"/>
    <n v="4"/>
    <s v="A"/>
    <n v="0"/>
    <s v=""/>
    <n v="72488"/>
    <x v="5"/>
    <s v="Engineer"/>
    <d v="1963-06-01T00:00:00"/>
    <d v="1989-08-24T00:00:00"/>
    <m/>
    <s v="Quality Management"/>
    <s v=""/>
    <n v="4"/>
    <x v="0"/>
  </r>
  <r>
    <n v="263976"/>
    <s v="10/30/1959"/>
    <s v="Eran"/>
    <s v="Cusworth"/>
    <s v="M"/>
    <d v="1986-11-14T00:00:00"/>
    <n v="8"/>
    <s v="B"/>
    <n v="1"/>
    <s v="8/21/1993"/>
    <n v="40000"/>
    <x v="5"/>
    <s v="Senior Engineer"/>
    <d v="1959-10-30T00:00:00"/>
    <d v="1986-11-14T00:00:00"/>
    <d v="1993-08-21T00:00:00"/>
    <s v="Quality Management"/>
    <n v="6.7679671457905544"/>
    <n v="3"/>
    <x v="0"/>
  </r>
  <r>
    <n v="10011"/>
    <s v="11/7/1953"/>
    <s v="Mary"/>
    <s v="Sluis"/>
    <s v="F"/>
    <d v="1990-01-22T00:00:00"/>
    <n v="6"/>
    <s v="C"/>
    <n v="0"/>
    <s v=""/>
    <n v="42365"/>
    <x v="6"/>
    <s v="Staff"/>
    <d v="1953-11-07T00:00:00"/>
    <d v="1990-01-22T00:00:00"/>
    <m/>
    <s v="Customer Service"/>
    <s v=""/>
    <n v="2"/>
    <x v="0"/>
  </r>
  <r>
    <n v="273487"/>
    <s v="4/14/1957"/>
    <s v="Christoph"/>
    <s v="Parfitt"/>
    <s v="M"/>
    <d v="1991-06-28T00:00:00"/>
    <n v="10"/>
    <s v="A"/>
    <n v="0"/>
    <s v=""/>
    <n v="56087"/>
    <x v="3"/>
    <s v="Staff"/>
    <d v="1957-04-14T00:00:00"/>
    <d v="1991-06-28T00:00:00"/>
    <m/>
    <s v="Human Resources"/>
    <s v=""/>
    <n v="4"/>
    <x v="0"/>
  </r>
  <r>
    <n v="10012"/>
    <s v="10/4/1960"/>
    <s v="Patricio"/>
    <s v="Bridgland"/>
    <s v="M"/>
    <d v="1992-12-18T00:00:00"/>
    <n v="3"/>
    <s v="A"/>
    <n v="0"/>
    <s v=""/>
    <n v="40000"/>
    <x v="0"/>
    <s v="Senior Engineer"/>
    <d v="1960-10-04T00:00:00"/>
    <d v="1992-12-18T00:00:00"/>
    <m/>
    <s v="Development"/>
    <s v=""/>
    <n v="4"/>
    <x v="0"/>
  </r>
  <r>
    <n v="10013"/>
    <s v="6/7/1963"/>
    <s v="Eberhardt"/>
    <s v="Terkki"/>
    <s v="M"/>
    <d v="1985-10-20T00:00:00"/>
    <n v="6"/>
    <s v="C"/>
    <n v="0"/>
    <s v=""/>
    <n v="40000"/>
    <x v="3"/>
    <s v="Senior Staff"/>
    <d v="1963-06-07T00:00:00"/>
    <d v="1985-10-20T00:00:00"/>
    <m/>
    <s v="Human Resources"/>
    <s v=""/>
    <n v="2"/>
    <x v="0"/>
  </r>
  <r>
    <n v="461591"/>
    <s v="11/17/1964"/>
    <s v="Xudong"/>
    <s v="Samarati"/>
    <s v="M"/>
    <d v="1985-11-13T00:00:00"/>
    <n v="2"/>
    <s v="A"/>
    <n v="1"/>
    <s v="8/21/1994"/>
    <n v="40000"/>
    <x v="7"/>
    <s v="Senior Staff"/>
    <d v="1964-11-17T00:00:00"/>
    <d v="1985-11-13T00:00:00"/>
    <d v="1994-08-21T00:00:00"/>
    <s v="Finance"/>
    <n v="8.7693360711841208"/>
    <n v="4"/>
    <x v="0"/>
  </r>
  <r>
    <n v="10014"/>
    <s v="2/12/1956"/>
    <s v="Berni"/>
    <s v="Genin"/>
    <s v="M"/>
    <d v="1987-03-11T00:00:00"/>
    <n v="9"/>
    <s v="B"/>
    <n v="0"/>
    <s v=""/>
    <n v="46168"/>
    <x v="0"/>
    <s v="Engineer"/>
    <d v="1956-02-12T00:00:00"/>
    <d v="1987-03-11T00:00:00"/>
    <m/>
    <s v="Development"/>
    <s v=""/>
    <n v="3"/>
    <x v="0"/>
  </r>
  <r>
    <n v="10015"/>
    <s v="8/19/1959"/>
    <s v="Guoxiang"/>
    <s v="Nooteboom"/>
    <s v="M"/>
    <d v="1987-07-02T00:00:00"/>
    <n v="4"/>
    <s v="B"/>
    <n v="0"/>
    <s v=""/>
    <n v="40000"/>
    <x v="4"/>
    <s v="Senior Staff"/>
    <d v="1959-08-19T00:00:00"/>
    <d v="1987-07-02T00:00:00"/>
    <m/>
    <s v="Research"/>
    <s v=""/>
    <n v="3"/>
    <x v="0"/>
  </r>
  <r>
    <n v="10016"/>
    <s v="5/2/1961"/>
    <s v="Kazuhito"/>
    <s v="Cappelletti"/>
    <s v="M"/>
    <d v="1995-01-27T00:00:00"/>
    <n v="5"/>
    <s v="C"/>
    <n v="0"/>
    <s v=""/>
    <n v="70889"/>
    <x v="2"/>
    <s v="Staff"/>
    <d v="1961-05-02T00:00:00"/>
    <d v="1995-01-27T00:00:00"/>
    <m/>
    <s v="Sales"/>
    <s v=""/>
    <n v="2"/>
    <x v="0"/>
  </r>
  <r>
    <n v="10017"/>
    <s v="7/6/1958"/>
    <s v="Cristinel"/>
    <s v="Bouloucos"/>
    <s v="F"/>
    <d v="1993-08-03T00:00:00"/>
    <n v="10"/>
    <s v="A"/>
    <n v="0"/>
    <s v=""/>
    <n v="71380"/>
    <x v="8"/>
    <s v="Staff"/>
    <d v="1958-07-06T00:00:00"/>
    <d v="1993-08-03T00:00:00"/>
    <m/>
    <s v="Marketing"/>
    <s v=""/>
    <n v="4"/>
    <x v="0"/>
  </r>
  <r>
    <n v="219881"/>
    <s v="4/24/1956"/>
    <s v="Kwangyoen"/>
    <s v="Speek"/>
    <s v="F"/>
    <d v="1993-02-14T00:00:00"/>
    <n v="6"/>
    <s v="B"/>
    <n v="0"/>
    <s v=""/>
    <n v="40000"/>
    <x v="6"/>
    <s v="Senior Staff"/>
    <d v="1956-04-24T00:00:00"/>
    <d v="1993-02-14T00:00:00"/>
    <m/>
    <s v="Customer Service"/>
    <s v=""/>
    <n v="3"/>
    <x v="0"/>
  </r>
  <r>
    <n v="10018"/>
    <s v="6/19/1954"/>
    <s v="Kazuhide"/>
    <s v="Peha"/>
    <s v="F"/>
    <d v="1987-04-03T00:00:00"/>
    <n v="4"/>
    <s v="B"/>
    <n v="0"/>
    <s v=""/>
    <n v="55881"/>
    <x v="1"/>
    <s v="Senior Engineer"/>
    <d v="1954-06-19T00:00:00"/>
    <d v="1987-04-03T00:00:00"/>
    <m/>
    <s v="Production"/>
    <s v=""/>
    <n v="3"/>
    <x v="0"/>
  </r>
  <r>
    <n v="10018"/>
    <s v="6/19/1954"/>
    <s v="Kazuhide"/>
    <s v="Peha"/>
    <s v="F"/>
    <d v="1987-04-03T00:00:00"/>
    <n v="4"/>
    <s v="B"/>
    <n v="0"/>
    <s v=""/>
    <n v="55881"/>
    <x v="0"/>
    <s v="Senior Engineer"/>
    <d v="1954-06-19T00:00:00"/>
    <d v="1987-04-03T00:00:00"/>
    <m/>
    <s v="Development"/>
    <s v=""/>
    <n v="3"/>
    <x v="0"/>
  </r>
  <r>
    <n v="29920"/>
    <s v="12/31/1961"/>
    <s v="Shuichi"/>
    <s v="Tyugu"/>
    <s v="F"/>
    <d v="1995-01-17T00:00:00"/>
    <n v="1"/>
    <s v="PIP"/>
    <n v="0"/>
    <s v=""/>
    <n v="40000"/>
    <x v="1"/>
    <s v="Engineer"/>
    <d v="1961-12-31T00:00:00"/>
    <d v="1995-01-17T00:00:00"/>
    <m/>
    <s v="Production"/>
    <s v=""/>
    <n v="1"/>
    <x v="0"/>
  </r>
  <r>
    <n v="10019"/>
    <s v="1/23/1953"/>
    <s v="Lillian"/>
    <s v="Haddadi"/>
    <s v="M"/>
    <d v="1999-04-30T00:00:00"/>
    <n v="4"/>
    <s v="B"/>
    <n v="0"/>
    <s v=""/>
    <n v="44276"/>
    <x v="4"/>
    <s v="Staff"/>
    <d v="1953-01-23T00:00:00"/>
    <d v="1999-04-30T00:00:00"/>
    <m/>
    <s v="Research"/>
    <s v=""/>
    <n v="3"/>
    <x v="1"/>
  </r>
  <r>
    <n v="10020"/>
    <s v="12/24/1952"/>
    <s v="Mayuko"/>
    <s v="Warwick"/>
    <s v="M"/>
    <d v="1991-01-26T00:00:00"/>
    <n v="7"/>
    <s v="B"/>
    <n v="0"/>
    <s v=""/>
    <n v="40000"/>
    <x v="1"/>
    <s v="Engineer"/>
    <d v="1952-12-24T00:00:00"/>
    <d v="1991-01-26T00:00:00"/>
    <m/>
    <s v="Production"/>
    <s v=""/>
    <n v="3"/>
    <x v="0"/>
  </r>
  <r>
    <n v="208153"/>
    <s v="10/25/1961"/>
    <s v="Abdulah"/>
    <s v="Lunn"/>
    <s v="M"/>
    <d v="1989-04-08T00:00:00"/>
    <n v="8"/>
    <s v="C"/>
    <n v="1"/>
    <s v="8/2/2000"/>
    <n v="50183"/>
    <x v="0"/>
    <s v="Senior Engineer"/>
    <d v="1961-10-25T00:00:00"/>
    <d v="1989-04-08T00:00:00"/>
    <d v="2000-08-02T00:00:00"/>
    <s v="Development"/>
    <n v="11.318275154004107"/>
    <n v="2"/>
    <x v="0"/>
  </r>
  <r>
    <n v="10021"/>
    <s v="2/20/1960"/>
    <s v="Ramzi"/>
    <s v="Erde"/>
    <s v="M"/>
    <d v="1988-02-10T00:00:00"/>
    <n v="1"/>
    <s v="B"/>
    <n v="0"/>
    <s v=""/>
    <n v="55025"/>
    <x v="0"/>
    <s v="Technique Leader"/>
    <d v="1960-02-20T00:00:00"/>
    <d v="1988-02-10T00:00:00"/>
    <m/>
    <s v="Development"/>
    <s v=""/>
    <n v="3"/>
    <x v="0"/>
  </r>
  <r>
    <n v="10022"/>
    <s v="7/8/1952"/>
    <s v="Shahaf"/>
    <s v="Famili"/>
    <s v="M"/>
    <d v="1995-08-22T00:00:00"/>
    <n v="9"/>
    <s v="B"/>
    <n v="1"/>
    <s v="11/4/2005"/>
    <n v="40000"/>
    <x v="0"/>
    <s v="Engineer"/>
    <d v="1952-07-08T00:00:00"/>
    <d v="1995-08-22T00:00:00"/>
    <d v="2005-11-04T00:00:00"/>
    <s v="Development"/>
    <n v="10.203969883641342"/>
    <n v="3"/>
    <x v="0"/>
  </r>
  <r>
    <n v="13616"/>
    <s v="8/30/1961"/>
    <s v="Perry"/>
    <s v="Lorho"/>
    <s v="F"/>
    <d v="1991-08-03T00:00:00"/>
    <n v="7"/>
    <s v="C"/>
    <n v="0"/>
    <s v=""/>
    <n v="40000"/>
    <x v="0"/>
    <s v="Senior Engineer"/>
    <d v="1961-08-30T00:00:00"/>
    <d v="1991-08-03T00:00:00"/>
    <m/>
    <s v="Development"/>
    <s v=""/>
    <n v="2"/>
    <x v="0"/>
  </r>
  <r>
    <n v="13616"/>
    <s v="8/30/1961"/>
    <s v="Perry"/>
    <s v="Lorho"/>
    <s v="F"/>
    <d v="1991-08-03T00:00:00"/>
    <n v="7"/>
    <s v="C"/>
    <n v="0"/>
    <s v=""/>
    <n v="40000"/>
    <x v="4"/>
    <s v="Senior Engineer"/>
    <d v="1961-08-30T00:00:00"/>
    <d v="1991-08-03T00:00:00"/>
    <m/>
    <s v="Research"/>
    <s v=""/>
    <n v="2"/>
    <x v="0"/>
  </r>
  <r>
    <n v="10023"/>
    <s v="9/29/1953"/>
    <s v="Bojan"/>
    <s v="Montemayor"/>
    <s v="F"/>
    <d v="1989-12-17T00:00:00"/>
    <n v="8"/>
    <s v="A"/>
    <n v="0"/>
    <s v=""/>
    <n v="47883"/>
    <x v="0"/>
    <s v="Engineer"/>
    <d v="1953-09-29T00:00:00"/>
    <d v="1989-12-17T00:00:00"/>
    <m/>
    <s v="Development"/>
    <s v=""/>
    <n v="4"/>
    <x v="0"/>
  </r>
  <r>
    <n v="10024"/>
    <s v="9/5/1958"/>
    <s v="Suzette"/>
    <s v="Pettey"/>
    <s v="F"/>
    <d v="1997-05-19T00:00:00"/>
    <n v="3"/>
    <s v="A"/>
    <n v="0"/>
    <s v=""/>
    <n v="83733"/>
    <x v="1"/>
    <s v="Assistant Engineer"/>
    <d v="1958-09-05T00:00:00"/>
    <d v="1997-05-19T00:00:00"/>
    <m/>
    <s v="Production"/>
    <s v=""/>
    <n v="4"/>
    <x v="0"/>
  </r>
  <r>
    <n v="246449"/>
    <s v="3/23/1958"/>
    <s v="Subbu"/>
    <s v="Bultermann"/>
    <s v="F"/>
    <d v="1988-03-25T00:00:00"/>
    <n v="9"/>
    <s v="C"/>
    <n v="0"/>
    <s v=""/>
    <n v="87084"/>
    <x v="2"/>
    <s v="Staff"/>
    <d v="1958-03-23T00:00:00"/>
    <d v="1988-03-25T00:00:00"/>
    <m/>
    <s v="Sales"/>
    <s v=""/>
    <n v="2"/>
    <x v="0"/>
  </r>
  <r>
    <n v="10025"/>
    <s v="10/31/1958"/>
    <s v="Prasadram"/>
    <s v="Heyers"/>
    <s v="M"/>
    <d v="1987-08-17T00:00:00"/>
    <n v="6"/>
    <s v="C"/>
    <n v="0"/>
    <s v=""/>
    <n v="40000"/>
    <x v="0"/>
    <s v="Technique Leader"/>
    <d v="1958-10-31T00:00:00"/>
    <d v="1987-08-17T00:00:00"/>
    <m/>
    <s v="Development"/>
    <s v=""/>
    <n v="2"/>
    <x v="0"/>
  </r>
  <r>
    <n v="10026"/>
    <s v="4/3/1953"/>
    <s v="Yongqiao"/>
    <s v="Berztiss"/>
    <s v="M"/>
    <d v="1995-03-20T00:00:00"/>
    <n v="1"/>
    <s v="PIP"/>
    <n v="0"/>
    <s v=""/>
    <n v="47585"/>
    <x v="1"/>
    <s v="Senior Engineer"/>
    <d v="1953-04-03T00:00:00"/>
    <d v="1995-03-20T00:00:00"/>
    <m/>
    <s v="Production"/>
    <s v=""/>
    <n v="1"/>
    <x v="0"/>
  </r>
  <r>
    <n v="21529"/>
    <s v="5/19/1959"/>
    <s v="Bojan"/>
    <s v="Zallocco"/>
    <s v="M"/>
    <d v="1986-10-14T00:00:00"/>
    <n v="7"/>
    <s v="C"/>
    <n v="0"/>
    <s v=""/>
    <n v="40000"/>
    <x v="0"/>
    <s v="Engineer"/>
    <d v="1959-05-19T00:00:00"/>
    <d v="1986-10-14T00:00:00"/>
    <m/>
    <s v="Development"/>
    <s v=""/>
    <n v="2"/>
    <x v="0"/>
  </r>
  <r>
    <n v="10027"/>
    <s v="7/10/1962"/>
    <s v="Divier"/>
    <s v="Reistad"/>
    <s v="F"/>
    <d v="1989-07-07T00:00:00"/>
    <n v="10"/>
    <s v="B"/>
    <n v="0"/>
    <s v=""/>
    <n v="40000"/>
    <x v="0"/>
    <s v="Senior Engineer"/>
    <d v="1962-07-10T00:00:00"/>
    <d v="1989-07-07T00:00:00"/>
    <m/>
    <s v="Development"/>
    <s v=""/>
    <n v="3"/>
    <x v="0"/>
  </r>
  <r>
    <n v="10028"/>
    <s v="11/26/1963"/>
    <s v="Domenick"/>
    <s v="Tempesti"/>
    <s v="M"/>
    <d v="1991-10-22T00:00:00"/>
    <n v="8"/>
    <s v="B"/>
    <n v="0"/>
    <s v=""/>
    <n v="48859"/>
    <x v="0"/>
    <s v="Engineer"/>
    <d v="1963-11-26T00:00:00"/>
    <d v="1991-10-22T00:00:00"/>
    <m/>
    <s v="Development"/>
    <s v=""/>
    <n v="3"/>
    <x v="0"/>
  </r>
  <r>
    <n v="17934"/>
    <s v="7/12/1963"/>
    <s v="Bilhanan"/>
    <s v="Wuwongse"/>
    <s v="M"/>
    <d v="1993-10-06T00:00:00"/>
    <n v="7"/>
    <s v="C"/>
    <n v="0"/>
    <s v=""/>
    <n v="48795"/>
    <x v="0"/>
    <s v="Technique Leader"/>
    <d v="1963-07-12T00:00:00"/>
    <d v="1993-10-06T00:00:00"/>
    <m/>
    <s v="Development"/>
    <s v=""/>
    <n v="2"/>
    <x v="0"/>
  </r>
  <r>
    <n v="10029"/>
    <s v="12/13/1956"/>
    <s v="Otmar"/>
    <s v="Herbst"/>
    <s v="M"/>
    <d v="1985-11-20T00:00:00"/>
    <n v="6"/>
    <s v="C"/>
    <n v="0"/>
    <s v=""/>
    <n v="63163"/>
    <x v="1"/>
    <s v="Senior Engineer"/>
    <d v="1956-12-13T00:00:00"/>
    <d v="1985-11-20T00:00:00"/>
    <m/>
    <s v="Production"/>
    <s v=""/>
    <n v="2"/>
    <x v="0"/>
  </r>
  <r>
    <n v="10029"/>
    <s v="12/13/1956"/>
    <s v="Otmar"/>
    <s v="Herbst"/>
    <s v="M"/>
    <d v="1985-11-20T00:00:00"/>
    <n v="6"/>
    <s v="C"/>
    <n v="0"/>
    <s v=""/>
    <n v="63163"/>
    <x v="5"/>
    <s v="Senior Engineer"/>
    <d v="1956-12-13T00:00:00"/>
    <d v="1985-11-20T00:00:00"/>
    <m/>
    <s v="Quality Management"/>
    <s v=""/>
    <n v="2"/>
    <x v="0"/>
  </r>
  <r>
    <n v="48085"/>
    <s v="1/19/1964"/>
    <s v="Venkatesan"/>
    <s v="Gilg"/>
    <s v="M"/>
    <d v="1993-06-28T00:00:00"/>
    <n v="9"/>
    <s v="B"/>
    <n v="0"/>
    <s v=""/>
    <n v="63016"/>
    <x v="7"/>
    <s v="Staff"/>
    <d v="1964-01-19T00:00:00"/>
    <d v="1993-06-28T00:00:00"/>
    <m/>
    <s v="Finance"/>
    <s v=""/>
    <n v="3"/>
    <x v="0"/>
  </r>
  <r>
    <n v="10030"/>
    <s v="7/14/1958"/>
    <s v="Elvis"/>
    <s v="Demeyer"/>
    <s v="M"/>
    <d v="1994-02-17T00:00:00"/>
    <n v="10"/>
    <s v="A"/>
    <n v="0"/>
    <s v=""/>
    <n v="66956"/>
    <x v="1"/>
    <s v="Senior Engineer"/>
    <d v="1958-07-14T00:00:00"/>
    <d v="1994-02-17T00:00:00"/>
    <m/>
    <s v="Production"/>
    <s v=""/>
    <n v="4"/>
    <x v="0"/>
  </r>
  <r>
    <n v="10031"/>
    <s v="1/27/1959"/>
    <s v="Karsten"/>
    <s v="Joslin"/>
    <s v="M"/>
    <d v="1991-09-01T00:00:00"/>
    <n v="2"/>
    <s v="C"/>
    <n v="1"/>
    <s v="8/3/1999"/>
    <n v="40000"/>
    <x v="0"/>
    <s v="Senior Engineer"/>
    <d v="1959-01-27T00:00:00"/>
    <d v="1991-09-01T00:00:00"/>
    <d v="1999-08-03T00:00:00"/>
    <s v="Development"/>
    <n v="7.9206023271731691"/>
    <n v="2"/>
    <x v="0"/>
  </r>
  <r>
    <n v="239838"/>
    <s v="12/11/1957"/>
    <s v="Naftali"/>
    <s v="Dulli"/>
    <s v="M"/>
    <d v="1993-06-06T00:00:00"/>
    <n v="3"/>
    <s v="A"/>
    <n v="0"/>
    <s v=""/>
    <n v="57715"/>
    <x v="1"/>
    <s v="Engineer"/>
    <d v="1957-12-11T00:00:00"/>
    <d v="1993-06-06T00:00:00"/>
    <m/>
    <s v="Production"/>
    <s v=""/>
    <n v="4"/>
    <x v="0"/>
  </r>
  <r>
    <n v="10032"/>
    <s v="8/9/1960"/>
    <s v="Jeong"/>
    <s v="Reistad"/>
    <s v="F"/>
    <d v="1990-06-20T00:00:00"/>
    <n v="9"/>
    <s v="C"/>
    <n v="0"/>
    <s v=""/>
    <n v="48426"/>
    <x v="1"/>
    <s v="Senior Engineer"/>
    <d v="1960-08-09T00:00:00"/>
    <d v="1990-06-20T00:00:00"/>
    <m/>
    <s v="Production"/>
    <s v=""/>
    <n v="2"/>
    <x v="0"/>
  </r>
  <r>
    <n v="10033"/>
    <s v="11/14/1956"/>
    <s v="Arif"/>
    <s v="Merlo"/>
    <s v="M"/>
    <d v="1987-03-18T00:00:00"/>
    <n v="9"/>
    <s v="A"/>
    <n v="0"/>
    <s v=""/>
    <n v="51258"/>
    <x v="5"/>
    <s v="Technique Leader"/>
    <d v="1956-11-14T00:00:00"/>
    <d v="1987-03-18T00:00:00"/>
    <m/>
    <s v="Quality Management"/>
    <s v=""/>
    <n v="4"/>
    <x v="0"/>
  </r>
  <r>
    <n v="240129"/>
    <s v="8/11/1952"/>
    <s v="Roddy"/>
    <s v="Karnin"/>
    <s v="M"/>
    <d v="1985-05-29T00:00:00"/>
    <n v="10"/>
    <s v="C"/>
    <n v="0"/>
    <s v=""/>
    <n v="43548"/>
    <x v="5"/>
    <s v="Technique Leader"/>
    <d v="1952-08-11T00:00:00"/>
    <d v="1985-05-29T00:00:00"/>
    <m/>
    <s v="Quality Management"/>
    <s v=""/>
    <n v="2"/>
    <x v="0"/>
  </r>
  <r>
    <n v="10034"/>
    <s v="12/29/1962"/>
    <s v="Bader"/>
    <s v="Swan"/>
    <s v="M"/>
    <d v="1988-09-21T00:00:00"/>
    <n v="8"/>
    <s v="C"/>
    <n v="0"/>
    <s v=""/>
    <n v="47561"/>
    <x v="2"/>
    <s v="Staff"/>
    <d v="1962-12-29T00:00:00"/>
    <d v="1988-09-21T00:00:00"/>
    <m/>
    <s v="Sales"/>
    <s v=""/>
    <n v="2"/>
    <x v="0"/>
  </r>
  <r>
    <n v="10035"/>
    <s v="2/8/1953"/>
    <s v="Alain"/>
    <s v="Chappelet"/>
    <s v="M"/>
    <d v="1988-09-05T00:00:00"/>
    <n v="6"/>
    <s v="B"/>
    <n v="0"/>
    <s v=""/>
    <n v="41538"/>
    <x v="1"/>
    <s v="Senior Engineer"/>
    <d v="1953-02-08T00:00:00"/>
    <d v="1988-09-05T00:00:00"/>
    <m/>
    <s v="Production"/>
    <s v=""/>
    <n v="3"/>
    <x v="0"/>
  </r>
  <r>
    <n v="205246"/>
    <s v="11/25/1958"/>
    <s v="Nevio"/>
    <s v="Demizu"/>
    <s v="F"/>
    <d v="1986-05-18T00:00:00"/>
    <n v="8"/>
    <s v="B"/>
    <n v="0"/>
    <s v=""/>
    <n v="80252"/>
    <x v="2"/>
    <s v="Senior Staff"/>
    <d v="1958-11-25T00:00:00"/>
    <d v="1986-05-18T00:00:00"/>
    <m/>
    <s v="Sales"/>
    <s v=""/>
    <n v="3"/>
    <x v="0"/>
  </r>
  <r>
    <n v="10036"/>
    <s v="8/10/1959"/>
    <s v="Adamantios"/>
    <s v="Portugali"/>
    <s v="M"/>
    <d v="1992-01-03T00:00:00"/>
    <n v="5"/>
    <s v="C"/>
    <n v="0"/>
    <s v=""/>
    <n v="42819"/>
    <x v="3"/>
    <s v="Senior Staff"/>
    <d v="1959-08-10T00:00:00"/>
    <d v="1992-01-03T00:00:00"/>
    <m/>
    <s v="Human Resources"/>
    <s v=""/>
    <n v="2"/>
    <x v="0"/>
  </r>
  <r>
    <n v="10037"/>
    <s v="7/22/1963"/>
    <s v="Pradeep"/>
    <s v="Makrucki"/>
    <s v="M"/>
    <d v="1990-12-05T00:00:00"/>
    <n v="4"/>
    <s v="A"/>
    <n v="0"/>
    <s v=""/>
    <n v="40000"/>
    <x v="0"/>
    <s v="Senior Engineer"/>
    <d v="1963-07-22T00:00:00"/>
    <d v="1990-12-05T00:00:00"/>
    <m/>
    <s v="Development"/>
    <s v=""/>
    <n v="4"/>
    <x v="0"/>
  </r>
  <r>
    <n v="10038"/>
    <s v="7/20/1960"/>
    <s v="Huan"/>
    <s v="Lortz"/>
    <s v="M"/>
    <d v="1989-09-20T00:00:00"/>
    <n v="5"/>
    <s v="A"/>
    <n v="0"/>
    <s v=""/>
    <n v="40000"/>
    <x v="6"/>
    <s v="Staff"/>
    <d v="1960-07-20T00:00:00"/>
    <d v="1989-09-20T00:00:00"/>
    <m/>
    <s v="Customer Service"/>
    <s v=""/>
    <n v="4"/>
    <x v="0"/>
  </r>
  <r>
    <n v="10039"/>
    <s v="10/1/1959"/>
    <s v="Alejandro"/>
    <s v="Brender"/>
    <s v="M"/>
    <d v="1988-01-19T00:00:00"/>
    <n v="1"/>
    <s v="B"/>
    <n v="0"/>
    <s v=""/>
    <n v="40000"/>
    <x v="3"/>
    <s v="Staff"/>
    <d v="1959-10-01T00:00:00"/>
    <d v="1988-01-19T00:00:00"/>
    <m/>
    <s v="Human Resources"/>
    <s v=""/>
    <n v="3"/>
    <x v="0"/>
  </r>
  <r>
    <n v="424270"/>
    <s v="1/15/1963"/>
    <s v="Kellyn"/>
    <s v="Yoshizawa"/>
    <s v="F"/>
    <d v="1995-05-08T00:00:00"/>
    <n v="8"/>
    <s v="A"/>
    <n v="0"/>
    <s v=""/>
    <n v="60678"/>
    <x v="7"/>
    <s v="Staff"/>
    <d v="1963-01-15T00:00:00"/>
    <d v="1995-05-08T00:00:00"/>
    <m/>
    <s v="Finance"/>
    <s v=""/>
    <n v="4"/>
    <x v="0"/>
  </r>
  <r>
    <n v="424270"/>
    <s v="1/15/1963"/>
    <s v="Kellyn"/>
    <s v="Yoshizawa"/>
    <s v="F"/>
    <d v="1995-05-08T00:00:00"/>
    <n v="8"/>
    <s v="A"/>
    <n v="0"/>
    <s v=""/>
    <n v="60678"/>
    <x v="2"/>
    <s v="Staff"/>
    <d v="1963-01-15T00:00:00"/>
    <d v="1995-05-08T00:00:00"/>
    <m/>
    <s v="Sales"/>
    <s v=""/>
    <n v="4"/>
    <x v="0"/>
  </r>
  <r>
    <n v="10040"/>
    <s v="9/13/1959"/>
    <s v="Weiyi"/>
    <s v="Meriste"/>
    <s v="F"/>
    <d v="1993-02-14T00:00:00"/>
    <n v="6"/>
    <s v="A"/>
    <n v="0"/>
    <s v=""/>
    <n v="52153"/>
    <x v="0"/>
    <s v="Senior Engineer"/>
    <d v="1959-09-13T00:00:00"/>
    <d v="1993-02-14T00:00:00"/>
    <m/>
    <s v="Development"/>
    <s v=""/>
    <n v="4"/>
    <x v="0"/>
  </r>
  <r>
    <n v="10040"/>
    <s v="9/13/1959"/>
    <s v="Weiyi"/>
    <s v="Meriste"/>
    <s v="F"/>
    <d v="1993-02-14T00:00:00"/>
    <n v="6"/>
    <s v="A"/>
    <n v="0"/>
    <s v=""/>
    <n v="52153"/>
    <x v="4"/>
    <s v="Senior Engineer"/>
    <d v="1959-09-13T00:00:00"/>
    <d v="1993-02-14T00:00:00"/>
    <m/>
    <s v="Research"/>
    <s v=""/>
    <n v="4"/>
    <x v="0"/>
  </r>
  <r>
    <n v="71530"/>
    <s v="2/9/1959"/>
    <s v="Venkatesan"/>
    <s v="McAlpine"/>
    <s v="M"/>
    <d v="1989-03-31T00:00:00"/>
    <n v="5"/>
    <s v="A"/>
    <n v="0"/>
    <s v=""/>
    <n v="69148"/>
    <x v="0"/>
    <s v="Senior Engineer"/>
    <d v="1959-02-09T00:00:00"/>
    <d v="1989-03-31T00:00:00"/>
    <m/>
    <s v="Development"/>
    <s v=""/>
    <n v="4"/>
    <x v="0"/>
  </r>
  <r>
    <n v="10041"/>
    <s v="8/27/1959"/>
    <s v="Uri"/>
    <s v="Lenart"/>
    <s v="F"/>
    <d v="1989-11-12T00:00:00"/>
    <n v="7"/>
    <s v="A"/>
    <n v="0"/>
    <s v=""/>
    <n v="56893"/>
    <x v="2"/>
    <s v="Staff"/>
    <d v="1959-08-27T00:00:00"/>
    <d v="1989-11-12T00:00:00"/>
    <m/>
    <s v="Sales"/>
    <s v=""/>
    <n v="4"/>
    <x v="0"/>
  </r>
  <r>
    <n v="10042"/>
    <s v="2/26/1956"/>
    <s v="Magy"/>
    <s v="Stamatiou"/>
    <s v="F"/>
    <d v="1993-03-21T00:00:00"/>
    <n v="4"/>
    <s v="B"/>
    <n v="0"/>
    <s v=""/>
    <n v="81662"/>
    <x v="7"/>
    <s v="Staff"/>
    <d v="1956-02-26T00:00:00"/>
    <d v="1993-03-21T00:00:00"/>
    <m/>
    <s v="Finance"/>
    <s v=""/>
    <n v="3"/>
    <x v="0"/>
  </r>
  <r>
    <n v="427958"/>
    <s v="5/3/1957"/>
    <s v="Feixiong"/>
    <s v="Poujol"/>
    <s v="F"/>
    <d v="1985-05-11T00:00:00"/>
    <n v="10"/>
    <s v="C"/>
    <n v="0"/>
    <s v=""/>
    <n v="63377"/>
    <x v="8"/>
    <s v="Staff"/>
    <d v="1957-05-03T00:00:00"/>
    <d v="1985-05-11T00:00:00"/>
    <m/>
    <s v="Marketing"/>
    <s v=""/>
    <n v="2"/>
    <x v="0"/>
  </r>
  <r>
    <n v="10043"/>
    <s v="9/19/1960"/>
    <s v="Yishay"/>
    <s v="Tzvieli"/>
    <s v="M"/>
    <d v="1990-10-20T00:00:00"/>
    <n v="6"/>
    <s v="C"/>
    <n v="0"/>
    <s v=""/>
    <n v="49324"/>
    <x v="0"/>
    <s v="Senior Engineer"/>
    <d v="1960-09-19T00:00:00"/>
    <d v="1990-10-20T00:00:00"/>
    <m/>
    <s v="Development"/>
    <s v=""/>
    <n v="2"/>
    <x v="0"/>
  </r>
  <r>
    <n v="10044"/>
    <s v="9/21/1961"/>
    <s v="Mingsen"/>
    <s v="Casley"/>
    <s v="F"/>
    <d v="1994-05-21T00:00:00"/>
    <n v="1"/>
    <s v="C"/>
    <n v="0"/>
    <s v=""/>
    <n v="40919"/>
    <x v="1"/>
    <s v="Technique Leader"/>
    <d v="1961-09-21T00:00:00"/>
    <d v="1994-05-21T00:00:00"/>
    <m/>
    <s v="Production"/>
    <s v=""/>
    <n v="2"/>
    <x v="0"/>
  </r>
  <r>
    <n v="280408"/>
    <s v="9/19/1964"/>
    <s v="Elliott"/>
    <s v="Perl"/>
    <s v="M"/>
    <d v="1987-10-29T00:00:00"/>
    <n v="7"/>
    <s v="A"/>
    <n v="0"/>
    <s v=""/>
    <n v="75963"/>
    <x v="2"/>
    <s v="Staff"/>
    <d v="1964-09-19T00:00:00"/>
    <d v="1987-10-29T00:00:00"/>
    <m/>
    <s v="Sales"/>
    <s v=""/>
    <n v="4"/>
    <x v="0"/>
  </r>
  <r>
    <n v="10045"/>
    <s v="8/14/1957"/>
    <s v="Moss"/>
    <s v="Shanbhogue"/>
    <s v="M"/>
    <d v="1989-09-02T00:00:00"/>
    <n v="5"/>
    <s v="C"/>
    <n v="0"/>
    <s v=""/>
    <n v="41971"/>
    <x v="1"/>
    <s v="Engineer"/>
    <d v="1957-08-14T00:00:00"/>
    <d v="1989-09-02T00:00:00"/>
    <m/>
    <s v="Production"/>
    <s v=""/>
    <n v="2"/>
    <x v="0"/>
  </r>
  <r>
    <n v="10046"/>
    <s v="7/23/1960"/>
    <s v="Lucien"/>
    <s v="Rosenbaum"/>
    <s v="M"/>
    <d v="1992-06-20T00:00:00"/>
    <n v="1"/>
    <s v="B"/>
    <n v="0"/>
    <s v=""/>
    <n v="40000"/>
    <x v="4"/>
    <s v="Staff"/>
    <d v="1960-07-23T00:00:00"/>
    <d v="1992-06-20T00:00:00"/>
    <m/>
    <s v="Research"/>
    <s v=""/>
    <n v="3"/>
    <x v="0"/>
  </r>
  <r>
    <n v="104639"/>
    <s v="6/19/1960"/>
    <s v="Theron"/>
    <s v="Escriba"/>
    <s v="F"/>
    <d v="1999-09-14T00:00:00"/>
    <n v="6"/>
    <s v="B"/>
    <n v="0"/>
    <s v=""/>
    <n v="40000"/>
    <x v="0"/>
    <s v="Senior Engineer"/>
    <d v="1960-06-19T00:00:00"/>
    <d v="1999-09-14T00:00:00"/>
    <m/>
    <s v="Development"/>
    <s v=""/>
    <n v="3"/>
    <x v="1"/>
  </r>
  <r>
    <n v="104639"/>
    <s v="6/19/1960"/>
    <s v="Theron"/>
    <s v="Escriba"/>
    <s v="F"/>
    <d v="1999-09-14T00:00:00"/>
    <n v="6"/>
    <s v="B"/>
    <n v="0"/>
    <s v=""/>
    <n v="40000"/>
    <x v="4"/>
    <s v="Senior Engineer"/>
    <d v="1960-06-19T00:00:00"/>
    <d v="1999-09-14T00:00:00"/>
    <m/>
    <s v="Research"/>
    <s v=""/>
    <n v="3"/>
    <x v="1"/>
  </r>
  <r>
    <n v="10047"/>
    <s v="6/29/1952"/>
    <s v="Zvonko"/>
    <s v="Nyanchama"/>
    <s v="M"/>
    <d v="1989-03-31T00:00:00"/>
    <n v="10"/>
    <s v="C"/>
    <n v="1"/>
    <s v="4/23/1991"/>
    <n v="54982"/>
    <x v="1"/>
    <s v="Senior Engineer"/>
    <d v="1952-06-29T00:00:00"/>
    <d v="1989-03-31T00:00:00"/>
    <d v="1991-04-23T00:00:00"/>
    <s v="Production"/>
    <n v="2.0616016427104724"/>
    <n v="2"/>
    <x v="0"/>
  </r>
  <r>
    <n v="10048"/>
    <s v="7/11/1963"/>
    <s v="Florian"/>
    <s v="Syrotiuk"/>
    <s v="M"/>
    <d v="1985-02-24T00:00:00"/>
    <n v="9"/>
    <s v="B"/>
    <n v="0"/>
    <s v=""/>
    <n v="40000"/>
    <x v="0"/>
    <s v="Engineer"/>
    <d v="1963-07-11T00:00:00"/>
    <d v="1985-02-24T00:00:00"/>
    <m/>
    <s v="Development"/>
    <s v=""/>
    <n v="3"/>
    <x v="0"/>
  </r>
  <r>
    <n v="214555"/>
    <s v="10/8/1960"/>
    <s v="Nechama"/>
    <s v="Copas"/>
    <s v="F"/>
    <d v="1987-10-27T00:00:00"/>
    <n v="8"/>
    <s v="A"/>
    <n v="0"/>
    <s v=""/>
    <n v="40000"/>
    <x v="0"/>
    <s v="Senior Engineer"/>
    <d v="1960-10-08T00:00:00"/>
    <d v="1987-10-27T00:00:00"/>
    <m/>
    <s v="Development"/>
    <s v=""/>
    <n v="4"/>
    <x v="0"/>
  </r>
  <r>
    <n v="10049"/>
    <s v="4/24/1961"/>
    <s v="Basil"/>
    <s v="Tramer"/>
    <s v="F"/>
    <d v="1992-05-04T00:00:00"/>
    <n v="3"/>
    <s v="B"/>
    <n v="0"/>
    <s v=""/>
    <n v="40000"/>
    <x v="6"/>
    <s v="Staff"/>
    <d v="1961-04-24T00:00:00"/>
    <d v="1992-05-04T00:00:00"/>
    <m/>
    <s v="Customer Service"/>
    <s v=""/>
    <n v="3"/>
    <x v="0"/>
  </r>
  <r>
    <n v="10050"/>
    <s v="5/21/1958"/>
    <s v="Yinghua"/>
    <s v="Dredge"/>
    <s v="M"/>
    <d v="1990-12-25T00:00:00"/>
    <n v="6"/>
    <s v="C"/>
    <n v="0"/>
    <s v=""/>
    <n v="74366"/>
    <x v="7"/>
    <s v="Staff"/>
    <d v="1958-05-21T00:00:00"/>
    <d v="1990-12-25T00:00:00"/>
    <m/>
    <s v="Finance"/>
    <s v=""/>
    <n v="2"/>
    <x v="0"/>
  </r>
  <r>
    <n v="10050"/>
    <s v="5/21/1958"/>
    <s v="Yinghua"/>
    <s v="Dredge"/>
    <s v="M"/>
    <d v="1990-12-25T00:00:00"/>
    <n v="6"/>
    <s v="C"/>
    <n v="0"/>
    <s v=""/>
    <n v="74366"/>
    <x v="2"/>
    <s v="Staff"/>
    <d v="1958-05-21T00:00:00"/>
    <d v="1990-12-25T00:00:00"/>
    <m/>
    <s v="Sales"/>
    <s v=""/>
    <n v="2"/>
    <x v="0"/>
  </r>
  <r>
    <n v="229010"/>
    <s v="11/12/1961"/>
    <s v="Mark"/>
    <s v="Cappelli"/>
    <s v="M"/>
    <d v="1990-05-07T00:00:00"/>
    <n v="9"/>
    <s v="B"/>
    <n v="0"/>
    <s v=""/>
    <n v="40000"/>
    <x v="3"/>
    <s v="Staff"/>
    <d v="1961-11-12T00:00:00"/>
    <d v="1990-05-07T00:00:00"/>
    <m/>
    <s v="Human Resources"/>
    <s v=""/>
    <n v="3"/>
    <x v="0"/>
  </r>
  <r>
    <n v="10051"/>
    <s v="7/28/1953"/>
    <s v="Hidefumi"/>
    <s v="Caine"/>
    <s v="M"/>
    <d v="1992-10-15T00:00:00"/>
    <n v="2"/>
    <s v="A"/>
    <n v="0"/>
    <s v=""/>
    <n v="48817"/>
    <x v="1"/>
    <s v="Senior Engineer"/>
    <d v="1953-07-28T00:00:00"/>
    <d v="1992-10-15T00:00:00"/>
    <m/>
    <s v="Production"/>
    <s v=""/>
    <n v="4"/>
    <x v="0"/>
  </r>
  <r>
    <n v="35916"/>
    <s v="8/15/1953"/>
    <s v="Wonhee"/>
    <s v="Talmon"/>
    <s v="F"/>
    <d v="1985-03-20T00:00:00"/>
    <n v="1"/>
    <s v="A"/>
    <n v="0"/>
    <s v=""/>
    <n v="40000"/>
    <x v="0"/>
    <s v="Senior Engineer"/>
    <d v="1953-08-15T00:00:00"/>
    <d v="1985-03-20T00:00:00"/>
    <m/>
    <s v="Development"/>
    <s v=""/>
    <n v="4"/>
    <x v="0"/>
  </r>
  <r>
    <n v="10052"/>
    <s v="2/26/1961"/>
    <s v="Heping"/>
    <s v="Nitsch"/>
    <s v="M"/>
    <d v="1988-05-21T00:00:00"/>
    <n v="5"/>
    <s v="B"/>
    <n v="0"/>
    <s v=""/>
    <n v="57212"/>
    <x v="4"/>
    <s v="Staff"/>
    <d v="1961-02-26T00:00:00"/>
    <d v="1988-05-21T00:00:00"/>
    <m/>
    <s v="Research"/>
    <s v=""/>
    <n v="3"/>
    <x v="0"/>
  </r>
  <r>
    <n v="10053"/>
    <s v="9/13/1954"/>
    <s v="Sanjiv"/>
    <s v="Zschoche"/>
    <s v="F"/>
    <d v="1986-02-04T00:00:00"/>
    <n v="4"/>
    <s v="B"/>
    <n v="0"/>
    <s v=""/>
    <n v="67854"/>
    <x v="2"/>
    <s v="Senior Staff"/>
    <d v="1954-09-13T00:00:00"/>
    <d v="1986-02-04T00:00:00"/>
    <m/>
    <s v="Sales"/>
    <s v=""/>
    <n v="3"/>
    <x v="0"/>
  </r>
  <r>
    <n v="61583"/>
    <s v="6/4/1957"/>
    <s v="Ziva"/>
    <s v="Vecchi"/>
    <s v="M"/>
    <d v="1986-07-03T00:00:00"/>
    <n v="6"/>
    <s v="B"/>
    <n v="0"/>
    <s v=""/>
    <n v="50801"/>
    <x v="0"/>
    <s v="Senior Engineer"/>
    <d v="1957-06-04T00:00:00"/>
    <d v="1986-07-03T00:00:00"/>
    <m/>
    <s v="Development"/>
    <s v=""/>
    <n v="3"/>
    <x v="0"/>
  </r>
  <r>
    <n v="10054"/>
    <s v="4/4/1957"/>
    <s v="Mayumi"/>
    <s v="Schueller"/>
    <s v="M"/>
    <d v="1995-03-13T00:00:00"/>
    <n v="8"/>
    <s v="A"/>
    <n v="0"/>
    <s v=""/>
    <n v="40000"/>
    <x v="3"/>
    <s v="Staff"/>
    <d v="1957-04-04T00:00:00"/>
    <d v="1995-03-13T00:00:00"/>
    <m/>
    <s v="Human Resources"/>
    <s v=""/>
    <n v="4"/>
    <x v="0"/>
  </r>
  <r>
    <n v="10055"/>
    <s v="6/6/1956"/>
    <s v="Georgy"/>
    <s v="Dredge"/>
    <s v="M"/>
    <d v="1992-04-27T00:00:00"/>
    <n v="4"/>
    <s v="A"/>
    <n v="0"/>
    <s v=""/>
    <n v="80024"/>
    <x v="8"/>
    <s v="Staff"/>
    <d v="1956-06-06T00:00:00"/>
    <d v="1992-04-27T00:00:00"/>
    <m/>
    <s v="Marketing"/>
    <s v=""/>
    <n v="4"/>
    <x v="0"/>
  </r>
  <r>
    <n v="67799"/>
    <s v="10/17/1961"/>
    <s v="Pantung"/>
    <s v="Cools"/>
    <s v="M"/>
    <d v="1994-01-28T00:00:00"/>
    <n v="9"/>
    <s v="B"/>
    <n v="0"/>
    <s v=""/>
    <n v="48111"/>
    <x v="5"/>
    <s v="Engineer"/>
    <d v="1961-10-17T00:00:00"/>
    <d v="1994-01-28T00:00:00"/>
    <m/>
    <s v="Quality Management"/>
    <s v=""/>
    <n v="3"/>
    <x v="0"/>
  </r>
  <r>
    <n v="10056"/>
    <s v="9/1/1961"/>
    <s v="Brendon"/>
    <s v="Bernini"/>
    <s v="F"/>
    <d v="1990-02-01T00:00:00"/>
    <n v="4"/>
    <s v="C"/>
    <n v="0"/>
    <s v=""/>
    <n v="48857"/>
    <x v="0"/>
    <s v="Senior Engineer"/>
    <d v="1961-09-01T00:00:00"/>
    <d v="1990-02-01T00:00:00"/>
    <m/>
    <s v="Development"/>
    <s v=""/>
    <n v="2"/>
    <x v="0"/>
  </r>
  <r>
    <n v="10057"/>
    <s v="5/30/1954"/>
    <s v="Ebbe"/>
    <s v="Callaway"/>
    <s v="F"/>
    <d v="1992-01-15T00:00:00"/>
    <n v="9"/>
    <s v="S"/>
    <n v="0"/>
    <s v=""/>
    <n v="49616"/>
    <x v="0"/>
    <s v="Senior Engineer"/>
    <d v="1954-05-30T00:00:00"/>
    <d v="1992-01-15T00:00:00"/>
    <m/>
    <s v="Development"/>
    <s v=""/>
    <n v="5"/>
    <x v="0"/>
  </r>
  <r>
    <n v="37061"/>
    <s v="6/25/1964"/>
    <s v="Piyawadee"/>
    <s v="Herbst"/>
    <s v="F"/>
    <d v="1990-04-12T00:00:00"/>
    <n v="10"/>
    <s v="C"/>
    <n v="0"/>
    <s v=""/>
    <n v="40000"/>
    <x v="3"/>
    <s v="Staff"/>
    <d v="1964-06-25T00:00:00"/>
    <d v="1990-04-12T00:00:00"/>
    <m/>
    <s v="Human Resources"/>
    <s v=""/>
    <n v="2"/>
    <x v="0"/>
  </r>
  <r>
    <n v="10058"/>
    <s v="10/1/1954"/>
    <s v="Berhard"/>
    <s v="McFarlin"/>
    <s v="M"/>
    <d v="1987-04-13T00:00:00"/>
    <n v="7"/>
    <s v="A"/>
    <n v="0"/>
    <s v=""/>
    <n v="52787"/>
    <x v="8"/>
    <s v="Senior Staff"/>
    <d v="1954-10-01T00:00:00"/>
    <d v="1987-04-13T00:00:00"/>
    <m/>
    <s v="Marketing"/>
    <s v=""/>
    <n v="4"/>
    <x v="0"/>
  </r>
  <r>
    <n v="10059"/>
    <s v="9/19/1953"/>
    <s v="Alejandro"/>
    <s v="McAlpine"/>
    <s v="F"/>
    <d v="1991-06-26T00:00:00"/>
    <n v="2"/>
    <s v="C"/>
    <n v="0"/>
    <s v=""/>
    <n v="71218"/>
    <x v="7"/>
    <s v="Senior Staff"/>
    <d v="1953-09-19T00:00:00"/>
    <d v="1991-06-26T00:00:00"/>
    <m/>
    <s v="Finance"/>
    <s v=""/>
    <n v="2"/>
    <x v="0"/>
  </r>
  <r>
    <n v="411412"/>
    <s v="1/11/1953"/>
    <s v="Hairong"/>
    <s v="Schaar"/>
    <s v="M"/>
    <d v="1987-12-24T00:00:00"/>
    <n v="2"/>
    <s v="A"/>
    <n v="0"/>
    <s v=""/>
    <n v="42348"/>
    <x v="1"/>
    <s v="Senior Engineer"/>
    <d v="1953-01-11T00:00:00"/>
    <d v="1987-12-24T00:00:00"/>
    <m/>
    <s v="Production"/>
    <s v=""/>
    <n v="4"/>
    <x v="0"/>
  </r>
  <r>
    <n v="10060"/>
    <s v="10/15/1961"/>
    <s v="Breannda"/>
    <s v="Billingsley"/>
    <s v="M"/>
    <d v="1987-11-02T00:00:00"/>
    <n v="7"/>
    <s v="A"/>
    <n v="0"/>
    <s v=""/>
    <n v="74686"/>
    <x v="2"/>
    <s v="Staff"/>
    <d v="1961-10-15T00:00:00"/>
    <d v="1987-11-02T00:00:00"/>
    <m/>
    <s v="Sales"/>
    <s v=""/>
    <n v="4"/>
    <x v="0"/>
  </r>
  <r>
    <n v="10060"/>
    <s v="10/15/1961"/>
    <s v="Breannda"/>
    <s v="Billingsley"/>
    <s v="M"/>
    <d v="1987-11-02T00:00:00"/>
    <n v="7"/>
    <s v="A"/>
    <n v="0"/>
    <s v=""/>
    <n v="74686"/>
    <x v="6"/>
    <s v="Staff"/>
    <d v="1961-10-15T00:00:00"/>
    <d v="1987-11-02T00:00:00"/>
    <m/>
    <s v="Customer Service"/>
    <s v=""/>
    <n v="4"/>
    <x v="0"/>
  </r>
  <r>
    <n v="422587"/>
    <s v="7/3/1954"/>
    <s v="Mohit"/>
    <s v="Speek"/>
    <s v="F"/>
    <d v="1986-01-14T00:00:00"/>
    <n v="10"/>
    <s v="C"/>
    <n v="0"/>
    <s v=""/>
    <n v="40000"/>
    <x v="0"/>
    <s v="Senior Engineer"/>
    <d v="1954-07-03T00:00:00"/>
    <d v="1986-01-14T00:00:00"/>
    <m/>
    <s v="Development"/>
    <s v=""/>
    <n v="2"/>
    <x v="0"/>
  </r>
  <r>
    <n v="10061"/>
    <s v="10/19/1962"/>
    <s v="Tse"/>
    <s v="Herber"/>
    <s v="M"/>
    <d v="1985-09-17T00:00:00"/>
    <n v="1"/>
    <s v="B"/>
    <n v="0"/>
    <s v=""/>
    <n v="68577"/>
    <x v="2"/>
    <s v="Senior Staff"/>
    <d v="1962-10-19T00:00:00"/>
    <d v="1985-09-17T00:00:00"/>
    <m/>
    <s v="Sales"/>
    <s v=""/>
    <n v="3"/>
    <x v="0"/>
  </r>
  <r>
    <n v="10062"/>
    <s v="11/2/1961"/>
    <s v="Anoosh"/>
    <s v="Peyn"/>
    <s v="M"/>
    <d v="1991-08-30T00:00:00"/>
    <n v="7"/>
    <s v="B"/>
    <n v="1"/>
    <s v="2/16/1993"/>
    <n v="55685"/>
    <x v="0"/>
    <s v="Senior Engineer"/>
    <d v="1961-11-02T00:00:00"/>
    <d v="1991-08-30T00:00:00"/>
    <d v="1993-02-16T00:00:00"/>
    <s v="Development"/>
    <n v="1.4674880219028064"/>
    <n v="3"/>
    <x v="0"/>
  </r>
  <r>
    <n v="35270"/>
    <s v="1/2/1953"/>
    <s v="Masali"/>
    <s v="Bakhtari"/>
    <s v="M"/>
    <d v="1991-02-05T00:00:00"/>
    <n v="4"/>
    <s v="A"/>
    <n v="0"/>
    <s v=""/>
    <n v="40338"/>
    <x v="1"/>
    <s v="Technique Leader"/>
    <d v="1953-01-02T00:00:00"/>
    <d v="1991-02-05T00:00:00"/>
    <m/>
    <s v="Production"/>
    <s v=""/>
    <n v="4"/>
    <x v="0"/>
  </r>
  <r>
    <n v="10063"/>
    <s v="8/6/1952"/>
    <s v="Gino"/>
    <s v="Leonhardt"/>
    <s v="F"/>
    <d v="1989-04-08T00:00:00"/>
    <n v="1"/>
    <s v="A"/>
    <n v="0"/>
    <s v=""/>
    <n v="40000"/>
    <x v="1"/>
    <s v="Senior Engineer"/>
    <d v="1952-08-06T00:00:00"/>
    <d v="1989-04-08T00:00:00"/>
    <m/>
    <s v="Production"/>
    <s v=""/>
    <n v="4"/>
    <x v="0"/>
  </r>
  <r>
    <n v="10064"/>
    <s v="4/7/1959"/>
    <s v="Udi"/>
    <s v="Jansch"/>
    <s v="M"/>
    <d v="1985-11-20T00:00:00"/>
    <n v="2"/>
    <s v="A"/>
    <n v="0"/>
    <s v=""/>
    <n v="40000"/>
    <x v="4"/>
    <s v="Staff"/>
    <d v="1959-04-07T00:00:00"/>
    <d v="1985-11-20T00:00:00"/>
    <m/>
    <s v="Research"/>
    <s v=""/>
    <n v="4"/>
    <x v="0"/>
  </r>
  <r>
    <n v="105597"/>
    <s v="8/14/1956"/>
    <s v="Christfried"/>
    <s v="Kabayashi"/>
    <s v="M"/>
    <d v="1987-05-11T00:00:00"/>
    <n v="2"/>
    <s v="A"/>
    <n v="0"/>
    <s v=""/>
    <n v="43841"/>
    <x v="3"/>
    <s v="Senior Staff"/>
    <d v="1956-08-14T00:00:00"/>
    <d v="1987-05-11T00:00:00"/>
    <m/>
    <s v="Human Resources"/>
    <s v=""/>
    <n v="4"/>
    <x v="0"/>
  </r>
  <r>
    <n v="10065"/>
    <s v="4/14/1963"/>
    <s v="Satosi"/>
    <s v="Awdeh"/>
    <s v="M"/>
    <d v="1988-05-18T00:00:00"/>
    <n v="5"/>
    <s v="B"/>
    <n v="0"/>
    <s v=""/>
    <n v="40000"/>
    <x v="0"/>
    <s v="Engineer"/>
    <d v="1963-04-14T00:00:00"/>
    <d v="1988-05-18T00:00:00"/>
    <m/>
    <s v="Development"/>
    <s v=""/>
    <n v="3"/>
    <x v="0"/>
  </r>
  <r>
    <n v="10066"/>
    <s v="11/13/1952"/>
    <s v="Kwee"/>
    <s v="Schusler"/>
    <s v="M"/>
    <d v="1986-02-26T00:00:00"/>
    <n v="1"/>
    <s v="PIP"/>
    <n v="0"/>
    <s v=""/>
    <n v="69736"/>
    <x v="0"/>
    <s v="Senior Engineer"/>
    <d v="1952-11-13T00:00:00"/>
    <d v="1986-02-26T00:00:00"/>
    <m/>
    <s v="Development"/>
    <s v=""/>
    <n v="1"/>
    <x v="0"/>
  </r>
  <r>
    <n v="244689"/>
    <s v="4/13/1956"/>
    <s v="Urs"/>
    <s v="Saoudi"/>
    <s v="M"/>
    <d v="1991-09-02T00:00:00"/>
    <n v="7"/>
    <s v="B"/>
    <n v="0"/>
    <s v=""/>
    <n v="40000"/>
    <x v="8"/>
    <s v="Staff"/>
    <d v="1956-04-13T00:00:00"/>
    <d v="1991-09-02T00:00:00"/>
    <m/>
    <s v="Marketing"/>
    <s v=""/>
    <n v="3"/>
    <x v="0"/>
  </r>
  <r>
    <n v="244689"/>
    <s v="4/13/1956"/>
    <s v="Urs"/>
    <s v="Saoudi"/>
    <s v="M"/>
    <d v="1991-09-02T00:00:00"/>
    <n v="7"/>
    <s v="B"/>
    <n v="0"/>
    <s v=""/>
    <n v="40000"/>
    <x v="3"/>
    <s v="Staff"/>
    <d v="1956-04-13T00:00:00"/>
    <d v="1991-09-02T00:00:00"/>
    <m/>
    <s v="Human Resources"/>
    <s v=""/>
    <n v="3"/>
    <x v="0"/>
  </r>
  <r>
    <n v="10067"/>
    <s v="1/7/1953"/>
    <s v="Claudi"/>
    <s v="Stavenow"/>
    <s v="M"/>
    <d v="1987-03-04T00:00:00"/>
    <n v="2"/>
    <s v="C"/>
    <n v="0"/>
    <s v=""/>
    <n v="44642"/>
    <x v="5"/>
    <s v="Senior Engineer"/>
    <d v="1953-01-07T00:00:00"/>
    <d v="1987-03-04T00:00:00"/>
    <m/>
    <s v="Quality Management"/>
    <s v=""/>
    <n v="2"/>
    <x v="0"/>
  </r>
  <r>
    <n v="10068"/>
    <s v="11/26/1962"/>
    <s v="Charlene"/>
    <s v="Brattka"/>
    <s v="M"/>
    <d v="1987-08-07T00:00:00"/>
    <n v="6"/>
    <s v="A"/>
    <n v="0"/>
    <s v=""/>
    <n v="87964"/>
    <x v="2"/>
    <s v="Staff"/>
    <d v="1962-11-26T00:00:00"/>
    <d v="1987-08-07T00:00:00"/>
    <m/>
    <s v="Sales"/>
    <s v=""/>
    <n v="4"/>
    <x v="0"/>
  </r>
  <r>
    <n v="48885"/>
    <s v="8/28/1958"/>
    <s v="Phuoc"/>
    <s v="Antonisse"/>
    <s v="M"/>
    <d v="1993-02-18T00:00:00"/>
    <n v="9"/>
    <s v="B"/>
    <n v="0"/>
    <s v=""/>
    <n v="55736"/>
    <x v="0"/>
    <s v="Senior Engineer"/>
    <d v="1958-08-28T00:00:00"/>
    <d v="1993-02-18T00:00:00"/>
    <m/>
    <s v="Development"/>
    <s v=""/>
    <n v="3"/>
    <x v="0"/>
  </r>
  <r>
    <n v="10069"/>
    <s v="9/6/1960"/>
    <s v="Margareta"/>
    <s v="Bierman"/>
    <s v="F"/>
    <d v="1989-11-05T00:00:00"/>
    <n v="10"/>
    <s v="A"/>
    <n v="0"/>
    <s v=""/>
    <n v="67932"/>
    <x v="1"/>
    <s v="Technique Leader"/>
    <d v="1960-09-06T00:00:00"/>
    <d v="1989-11-05T00:00:00"/>
    <m/>
    <s v="Production"/>
    <s v=""/>
    <n v="4"/>
    <x v="0"/>
  </r>
  <r>
    <n v="10070"/>
    <s v="8/20/1955"/>
    <s v="Reuven"/>
    <s v="Garigliano"/>
    <s v="M"/>
    <d v="1985-10-14T00:00:00"/>
    <n v="7"/>
    <s v="A"/>
    <n v="0"/>
    <s v=""/>
    <n v="55999"/>
    <x v="0"/>
    <s v="Technique Leader"/>
    <d v="1955-08-20T00:00:00"/>
    <d v="1985-10-14T00:00:00"/>
    <m/>
    <s v="Development"/>
    <s v=""/>
    <n v="4"/>
    <x v="0"/>
  </r>
  <r>
    <n v="10070"/>
    <s v="8/20/1955"/>
    <s v="Reuven"/>
    <s v="Garigliano"/>
    <s v="M"/>
    <d v="1985-10-14T00:00:00"/>
    <n v="7"/>
    <s v="A"/>
    <n v="0"/>
    <s v=""/>
    <n v="55999"/>
    <x v="4"/>
    <s v="Technique Leader"/>
    <d v="1955-08-20T00:00:00"/>
    <d v="1985-10-14T00:00:00"/>
    <m/>
    <s v="Research"/>
    <s v=""/>
    <n v="4"/>
    <x v="0"/>
  </r>
  <r>
    <n v="244492"/>
    <s v="5/22/1958"/>
    <s v="Shaunak"/>
    <s v="Pettit"/>
    <s v="M"/>
    <d v="1994-07-19T00:00:00"/>
    <n v="3"/>
    <s v="C"/>
    <n v="1"/>
    <s v="11/14/2000"/>
    <n v="63685"/>
    <x v="0"/>
    <s v="Senior Engineer"/>
    <d v="1958-05-22T00:00:00"/>
    <d v="1994-07-19T00:00:00"/>
    <d v="2000-11-14T00:00:00"/>
    <s v="Development"/>
    <n v="6.324435318275154"/>
    <n v="2"/>
    <x v="0"/>
  </r>
  <r>
    <n v="10071"/>
    <s v="1/21/1958"/>
    <s v="Hisao"/>
    <s v="Lipner"/>
    <s v="M"/>
    <d v="1987-10-01T00:00:00"/>
    <n v="4"/>
    <s v="B"/>
    <n v="0"/>
    <s v=""/>
    <n v="40000"/>
    <x v="3"/>
    <s v="Staff"/>
    <d v="1958-01-21T00:00:00"/>
    <d v="1987-10-01T00:00:00"/>
    <m/>
    <s v="Human Resources"/>
    <s v=""/>
    <n v="3"/>
    <x v="0"/>
  </r>
  <r>
    <n v="215615"/>
    <s v="2/13/1957"/>
    <s v="Bader"/>
    <s v="Chinal"/>
    <s v="F"/>
    <d v="1990-01-08T00:00:00"/>
    <n v="10"/>
    <s v="C"/>
    <n v="0"/>
    <s v=""/>
    <n v="40000"/>
    <x v="1"/>
    <s v="Engineer"/>
    <d v="1957-02-13T00:00:00"/>
    <d v="1990-01-08T00:00:00"/>
    <m/>
    <s v="Production"/>
    <s v=""/>
    <n v="2"/>
    <x v="0"/>
  </r>
  <r>
    <n v="215615"/>
    <s v="2/13/1957"/>
    <s v="Bader"/>
    <s v="Chinal"/>
    <s v="F"/>
    <d v="1990-01-08T00:00:00"/>
    <n v="10"/>
    <s v="C"/>
    <n v="0"/>
    <s v=""/>
    <n v="40000"/>
    <x v="5"/>
    <s v="Engineer"/>
    <d v="1957-02-13T00:00:00"/>
    <d v="1990-01-08T00:00:00"/>
    <m/>
    <s v="Quality Management"/>
    <s v=""/>
    <n v="2"/>
    <x v="0"/>
  </r>
  <r>
    <n v="10072"/>
    <s v="5/15/1952"/>
    <s v="Hironoby"/>
    <s v="Sidou"/>
    <s v="F"/>
    <d v="1988-07-21T00:00:00"/>
    <n v="8"/>
    <s v="B"/>
    <n v="0"/>
    <s v=""/>
    <n v="40000"/>
    <x v="0"/>
    <s v="Senior Engineer"/>
    <d v="1952-05-15T00:00:00"/>
    <d v="1988-07-21T00:00:00"/>
    <m/>
    <s v="Development"/>
    <s v=""/>
    <n v="3"/>
    <x v="0"/>
  </r>
  <r>
    <n v="10073"/>
    <s v="2/23/1954"/>
    <s v="Shir"/>
    <s v="McClurg"/>
    <s v="M"/>
    <d v="1991-12-01T00:00:00"/>
    <n v="5"/>
    <s v="C"/>
    <n v="0"/>
    <s v=""/>
    <n v="56473"/>
    <x v="5"/>
    <s v="Engineer"/>
    <d v="1954-02-23T00:00:00"/>
    <d v="1991-12-01T00:00:00"/>
    <m/>
    <s v="Quality Management"/>
    <s v=""/>
    <n v="2"/>
    <x v="0"/>
  </r>
  <r>
    <n v="95280"/>
    <s v="2/14/1960"/>
    <s v="Owen"/>
    <s v="Hiraishi"/>
    <s v="F"/>
    <d v="1985-08-07T00:00:00"/>
    <n v="10"/>
    <s v="S"/>
    <n v="0"/>
    <s v=""/>
    <n v="40000"/>
    <x v="1"/>
    <s v="Senior Engineer"/>
    <d v="1960-02-14T00:00:00"/>
    <d v="1985-08-07T00:00:00"/>
    <m/>
    <s v="Production"/>
    <s v=""/>
    <n v="5"/>
    <x v="0"/>
  </r>
  <r>
    <n v="10074"/>
    <s v="8/28/1955"/>
    <s v="Mokhtar"/>
    <s v="Bernatsky"/>
    <s v="F"/>
    <d v="1990-08-13T00:00:00"/>
    <n v="8"/>
    <s v="PIP"/>
    <n v="1"/>
    <s v="5/22/1995"/>
    <n v="61714"/>
    <x v="0"/>
    <s v="Technique Leader"/>
    <d v="1955-08-28T00:00:00"/>
    <d v="1990-08-13T00:00:00"/>
    <d v="1995-05-22T00:00:00"/>
    <s v="Development"/>
    <n v="4.7720739219712529"/>
    <n v="1"/>
    <x v="0"/>
  </r>
  <r>
    <n v="10075"/>
    <s v="3/9/1960"/>
    <s v="Gao"/>
    <s v="Dolinsky"/>
    <s v="F"/>
    <d v="1987-03-19T00:00:00"/>
    <n v="4"/>
    <s v="B"/>
    <n v="0"/>
    <s v=""/>
    <n v="43815"/>
    <x v="0"/>
    <s v="Senior Engineer"/>
    <d v="1960-03-09T00:00:00"/>
    <d v="1987-03-19T00:00:00"/>
    <m/>
    <s v="Development"/>
    <s v=""/>
    <n v="3"/>
    <x v="0"/>
  </r>
  <r>
    <n v="37473"/>
    <s v="3/6/1952"/>
    <s v="Prasadram"/>
    <s v="Valette"/>
    <s v="M"/>
    <d v="1994-02-16T00:00:00"/>
    <n v="3"/>
    <s v="PIP"/>
    <n v="0"/>
    <s v=""/>
    <n v="55963"/>
    <x v="7"/>
    <s v="Staff"/>
    <d v="1952-03-06T00:00:00"/>
    <d v="1994-02-16T00:00:00"/>
    <m/>
    <s v="Finance"/>
    <s v=""/>
    <n v="1"/>
    <x v="0"/>
  </r>
  <r>
    <n v="10076"/>
    <s v="6/13/1952"/>
    <s v="Erez"/>
    <s v="Ritzmann"/>
    <s v="F"/>
    <d v="1985-07-09T00:00:00"/>
    <n v="9"/>
    <s v="B"/>
    <n v="0"/>
    <s v=""/>
    <n v="47319"/>
    <x v="0"/>
    <s v="Senior Engineer"/>
    <d v="1952-06-13T00:00:00"/>
    <d v="1985-07-09T00:00:00"/>
    <m/>
    <s v="Development"/>
    <s v=""/>
    <n v="3"/>
    <x v="0"/>
  </r>
  <r>
    <n v="10077"/>
    <s v="4/18/1964"/>
    <s v="Mona"/>
    <s v="Azuma"/>
    <s v="M"/>
    <d v="1990-03-02T00:00:00"/>
    <n v="2"/>
    <s v="C"/>
    <n v="0"/>
    <s v=""/>
    <n v="40000"/>
    <x v="3"/>
    <s v="Staff"/>
    <d v="1964-04-18T00:00:00"/>
    <d v="1990-03-02T00:00:00"/>
    <m/>
    <s v="Human Resources"/>
    <s v=""/>
    <n v="2"/>
    <x v="0"/>
  </r>
  <r>
    <n v="43471"/>
    <s v="1/10/1964"/>
    <s v="Mechthild"/>
    <s v="Gihr"/>
    <s v="F"/>
    <d v="1995-05-10T00:00:00"/>
    <n v="6"/>
    <s v="B"/>
    <n v="1"/>
    <s v="5/11/2007"/>
    <n v="40023"/>
    <x v="1"/>
    <s v="Engineer"/>
    <d v="1964-01-10T00:00:00"/>
    <d v="1995-05-10T00:00:00"/>
    <d v="2007-05-11T00:00:00"/>
    <s v="Production"/>
    <n v="12.002737850787133"/>
    <n v="3"/>
    <x v="0"/>
  </r>
  <r>
    <n v="10078"/>
    <s v="12/25/1959"/>
    <s v="Danel"/>
    <s v="Mondadori"/>
    <s v="F"/>
    <d v="1987-05-26T00:00:00"/>
    <n v="10"/>
    <s v="A"/>
    <n v="0"/>
    <s v=""/>
    <n v="47280"/>
    <x v="0"/>
    <s v="Engineer"/>
    <d v="1959-12-25T00:00:00"/>
    <d v="1987-05-26T00:00:00"/>
    <m/>
    <s v="Development"/>
    <s v=""/>
    <n v="4"/>
    <x v="0"/>
  </r>
  <r>
    <n v="10079"/>
    <s v="10/5/1961"/>
    <s v="Kshitij"/>
    <s v="Gils"/>
    <s v="F"/>
    <d v="1986-03-27T00:00:00"/>
    <n v="2"/>
    <s v="B"/>
    <n v="0"/>
    <s v=""/>
    <n v="53492"/>
    <x v="0"/>
    <s v="Technique Leader"/>
    <d v="1961-10-05T00:00:00"/>
    <d v="1986-03-27T00:00:00"/>
    <m/>
    <s v="Development"/>
    <s v=""/>
    <n v="3"/>
    <x v="0"/>
  </r>
  <r>
    <n v="289261"/>
    <s v="2/4/1958"/>
    <s v="Gad"/>
    <s v="Nollmann"/>
    <s v="M"/>
    <d v="1985-10-01T00:00:00"/>
    <n v="5"/>
    <s v="B"/>
    <n v="0"/>
    <s v=""/>
    <n v="63068"/>
    <x v="2"/>
    <s v="Staff"/>
    <d v="1958-02-04T00:00:00"/>
    <d v="1985-10-01T00:00:00"/>
    <m/>
    <s v="Sales"/>
    <s v=""/>
    <n v="3"/>
    <x v="0"/>
  </r>
  <r>
    <n v="10080"/>
    <s v="12/3/1957"/>
    <s v="Premal"/>
    <s v="Baek"/>
    <s v="M"/>
    <d v="1985-11-19T00:00:00"/>
    <n v="3"/>
    <s v="A"/>
    <n v="0"/>
    <s v=""/>
    <n v="54916"/>
    <x v="7"/>
    <s v="Staff"/>
    <d v="1957-12-03T00:00:00"/>
    <d v="1985-11-19T00:00:00"/>
    <m/>
    <s v="Finance"/>
    <s v=""/>
    <n v="4"/>
    <x v="0"/>
  </r>
  <r>
    <n v="10080"/>
    <s v="12/3/1957"/>
    <s v="Premal"/>
    <s v="Baek"/>
    <s v="M"/>
    <d v="1985-11-19T00:00:00"/>
    <n v="3"/>
    <s v="A"/>
    <n v="0"/>
    <s v=""/>
    <n v="54916"/>
    <x v="3"/>
    <s v="Staff"/>
    <d v="1957-12-03T00:00:00"/>
    <d v="1985-11-19T00:00:00"/>
    <m/>
    <s v="Human Resources"/>
    <s v=""/>
    <n v="4"/>
    <x v="0"/>
  </r>
  <r>
    <n v="26941"/>
    <s v="12/2/1963"/>
    <s v="Shigeu"/>
    <s v="Masamoto"/>
    <s v="M"/>
    <d v="1989-08-27T00:00:00"/>
    <n v="7"/>
    <s v="C"/>
    <n v="0"/>
    <s v=""/>
    <n v="40000"/>
    <x v="0"/>
    <s v="Senior Engineer"/>
    <d v="1963-12-02T00:00:00"/>
    <d v="1989-08-27T00:00:00"/>
    <m/>
    <s v="Development"/>
    <s v=""/>
    <n v="2"/>
    <x v="0"/>
  </r>
  <r>
    <n v="10081"/>
    <s v="12/17/1960"/>
    <s v="Zhongwei"/>
    <s v="Rosen"/>
    <s v="M"/>
    <d v="1986-10-30T00:00:00"/>
    <n v="5"/>
    <s v="A"/>
    <n v="0"/>
    <s v=""/>
    <n v="55786"/>
    <x v="1"/>
    <s v="Senior Engineer"/>
    <d v="1960-12-17T00:00:00"/>
    <d v="1986-10-30T00:00:00"/>
    <m/>
    <s v="Production"/>
    <s v=""/>
    <n v="4"/>
    <x v="0"/>
  </r>
  <r>
    <n v="10082"/>
    <s v="9/9/1963"/>
    <s v="Parviz"/>
    <s v="Lortz"/>
    <s v="M"/>
    <d v="1990-01-03T00:00:00"/>
    <n v="9"/>
    <s v="C"/>
    <n v="1"/>
    <s v="4/15/2000"/>
    <n v="48935"/>
    <x v="4"/>
    <s v="Staff"/>
    <d v="1963-09-09T00:00:00"/>
    <d v="1990-01-03T00:00:00"/>
    <d v="2000-04-15T00:00:00"/>
    <s v="Research"/>
    <n v="10.28062970568104"/>
    <n v="2"/>
    <x v="0"/>
  </r>
  <r>
    <n v="465253"/>
    <s v="8/6/1957"/>
    <s v="Gladys"/>
    <s v="Yoshimura"/>
    <s v="F"/>
    <d v="1990-07-23T00:00:00"/>
    <n v="5"/>
    <s v="B"/>
    <n v="0"/>
    <s v=""/>
    <n v="43653"/>
    <x v="1"/>
    <s v="Senior Engineer"/>
    <d v="1957-08-06T00:00:00"/>
    <d v="1990-07-23T00:00:00"/>
    <m/>
    <s v="Production"/>
    <s v=""/>
    <n v="3"/>
    <x v="0"/>
  </r>
  <r>
    <n v="10083"/>
    <s v="7/23/1959"/>
    <s v="Vishv"/>
    <s v="Zockler"/>
    <s v="M"/>
    <d v="1987-03-31T00:00:00"/>
    <n v="5"/>
    <s v="C"/>
    <n v="0"/>
    <s v=""/>
    <n v="40000"/>
    <x v="1"/>
    <s v="Senior Engineer"/>
    <d v="1959-07-23T00:00:00"/>
    <d v="1987-03-31T00:00:00"/>
    <m/>
    <s v="Production"/>
    <s v=""/>
    <n v="2"/>
    <x v="0"/>
  </r>
  <r>
    <n v="10084"/>
    <s v="5/25/1960"/>
    <s v="Tuval"/>
    <s v="Kalloufi"/>
    <s v="M"/>
    <d v="1995-12-15T00:00:00"/>
    <n v="7"/>
    <s v="A"/>
    <n v="0"/>
    <s v=""/>
    <n v="69811"/>
    <x v="1"/>
    <s v="Senior Engineer"/>
    <d v="1960-05-25T00:00:00"/>
    <d v="1995-12-15T00:00:00"/>
    <m/>
    <s v="Production"/>
    <s v=""/>
    <n v="4"/>
    <x v="0"/>
  </r>
  <r>
    <n v="444985"/>
    <s v="1/20/1956"/>
    <s v="Giap"/>
    <s v="Verspoor"/>
    <s v="F"/>
    <d v="1990-03-17T00:00:00"/>
    <n v="2"/>
    <s v="B"/>
    <n v="0"/>
    <s v=""/>
    <n v="71042"/>
    <x v="2"/>
    <s v="Staff"/>
    <d v="1956-01-20T00:00:00"/>
    <d v="1990-03-17T00:00:00"/>
    <m/>
    <s v="Sales"/>
    <s v=""/>
    <n v="3"/>
    <x v="0"/>
  </r>
  <r>
    <n v="10085"/>
    <s v="11/7/1962"/>
    <s v="Kenroku"/>
    <s v="Malabarba"/>
    <s v="M"/>
    <d v="1994-04-09T00:00:00"/>
    <n v="4"/>
    <s v="A"/>
    <n v="0"/>
    <s v=""/>
    <n v="40000"/>
    <x v="1"/>
    <s v="Senior Engineer"/>
    <d v="1962-11-07T00:00:00"/>
    <d v="1994-04-09T00:00:00"/>
    <m/>
    <s v="Production"/>
    <s v=""/>
    <n v="4"/>
    <x v="0"/>
  </r>
  <r>
    <n v="10086"/>
    <s v="11/19/1962"/>
    <s v="Somnath"/>
    <s v="Foote"/>
    <s v="M"/>
    <d v="1990-02-16T00:00:00"/>
    <n v="1"/>
    <s v="B"/>
    <n v="0"/>
    <s v=""/>
    <n v="81613"/>
    <x v="3"/>
    <s v="Staff"/>
    <d v="1962-11-19T00:00:00"/>
    <d v="1990-02-16T00:00:00"/>
    <m/>
    <s v="Human Resources"/>
    <s v=""/>
    <n v="3"/>
    <x v="0"/>
  </r>
  <r>
    <n v="299898"/>
    <s v="2/15/1964"/>
    <s v="Munehiko"/>
    <s v="Janocha"/>
    <s v="M"/>
    <d v="1988-12-11T00:00:00"/>
    <n v="8"/>
    <s v="A"/>
    <n v="0"/>
    <s v=""/>
    <n v="63315"/>
    <x v="8"/>
    <s v="Staff"/>
    <d v="1964-02-15T00:00:00"/>
    <d v="1988-12-11T00:00:00"/>
    <m/>
    <s v="Marketing"/>
    <s v=""/>
    <n v="4"/>
    <x v="0"/>
  </r>
  <r>
    <n v="10087"/>
    <s v="7/23/1959"/>
    <s v="Xinglin"/>
    <s v="Eugenio"/>
    <s v="F"/>
    <d v="1986-09-08T00:00:00"/>
    <n v="9"/>
    <s v="A"/>
    <n v="0"/>
    <s v=""/>
    <n v="96750"/>
    <x v="2"/>
    <s v="Staff"/>
    <d v="1959-07-23T00:00:00"/>
    <d v="1986-09-08T00:00:00"/>
    <m/>
    <s v="Sales"/>
    <s v=""/>
    <n v="4"/>
    <x v="0"/>
  </r>
  <r>
    <n v="10088"/>
    <s v="2/25/1954"/>
    <s v="Jungsoon"/>
    <s v="Syrzycki"/>
    <s v="F"/>
    <d v="1988-09-02T00:00:00"/>
    <n v="9"/>
    <s v="A"/>
    <n v="1"/>
    <s v="6/18/1998"/>
    <n v="65957"/>
    <x v="2"/>
    <s v="Staff"/>
    <d v="1954-02-25T00:00:00"/>
    <d v="1988-09-02T00:00:00"/>
    <d v="1998-06-18T00:00:00"/>
    <s v="Sales"/>
    <n v="9.7905544147843937"/>
    <n v="4"/>
    <x v="0"/>
  </r>
  <r>
    <n v="10088"/>
    <s v="2/25/1954"/>
    <s v="Jungsoon"/>
    <s v="Syrzycki"/>
    <s v="F"/>
    <d v="1988-09-02T00:00:00"/>
    <n v="9"/>
    <s v="A"/>
    <n v="1"/>
    <s v="6/18/1998"/>
    <n v="65957"/>
    <x v="6"/>
    <s v="Staff"/>
    <d v="1954-02-25T00:00:00"/>
    <d v="1988-09-02T00:00:00"/>
    <d v="1998-06-18T00:00:00"/>
    <s v="Customer Service"/>
    <n v="9.7905544147843937"/>
    <n v="4"/>
    <x v="0"/>
  </r>
  <r>
    <n v="10089"/>
    <s v="3/21/1963"/>
    <s v="Sudharsan"/>
    <s v="Flasterstein"/>
    <s v="F"/>
    <d v="1986-08-12T00:00:00"/>
    <n v="4"/>
    <s v="C"/>
    <n v="0"/>
    <s v=""/>
    <n v="56469"/>
    <x v="2"/>
    <s v="Staff"/>
    <d v="1963-03-21T00:00:00"/>
    <d v="1986-08-12T00:00:00"/>
    <m/>
    <s v="Sales"/>
    <s v=""/>
    <n v="2"/>
    <x v="0"/>
  </r>
  <r>
    <n v="425023"/>
    <s v="8/4/1953"/>
    <s v="Shaowen"/>
    <s v="Krone"/>
    <s v="M"/>
    <d v="1990-11-18T00:00:00"/>
    <n v="8"/>
    <s v="C"/>
    <n v="0"/>
    <s v=""/>
    <n v="45682"/>
    <x v="0"/>
    <s v="Senior Engineer"/>
    <d v="1953-08-04T00:00:00"/>
    <d v="1990-11-18T00:00:00"/>
    <m/>
    <s v="Development"/>
    <s v=""/>
    <n v="2"/>
    <x v="0"/>
  </r>
  <r>
    <n v="10090"/>
    <s v="5/30/1961"/>
    <s v="Kendra"/>
    <s v="Hofting"/>
    <s v="M"/>
    <d v="1986-03-14T00:00:00"/>
    <n v="7"/>
    <s v="C"/>
    <n v="0"/>
    <s v=""/>
    <n v="44978"/>
    <x v="0"/>
    <s v="Senior Engineer"/>
    <d v="1961-05-30T00:00:00"/>
    <d v="1986-03-14T00:00:00"/>
    <m/>
    <s v="Development"/>
    <s v=""/>
    <n v="2"/>
    <x v="0"/>
  </r>
  <r>
    <n v="10091"/>
    <s v="10/4/1955"/>
    <s v="Amabile"/>
    <s v="Gomatam"/>
    <s v="M"/>
    <d v="1992-11-18T00:00:00"/>
    <n v="5"/>
    <s v="A"/>
    <n v="0"/>
    <s v=""/>
    <n v="40000"/>
    <x v="0"/>
    <s v="Senior Engineer"/>
    <d v="1955-10-04T00:00:00"/>
    <d v="1992-11-18T00:00:00"/>
    <m/>
    <s v="Development"/>
    <s v=""/>
    <n v="4"/>
    <x v="0"/>
  </r>
  <r>
    <n v="411614"/>
    <s v="3/29/1958"/>
    <s v="Martins"/>
    <s v="Wynblatt"/>
    <s v="M"/>
    <d v="1992-02-15T00:00:00"/>
    <n v="1"/>
    <s v="B"/>
    <n v="0"/>
    <s v=""/>
    <n v="54770"/>
    <x v="0"/>
    <s v="Senior Engineer"/>
    <d v="1958-03-29T00:00:00"/>
    <d v="1992-02-15T00:00:00"/>
    <m/>
    <s v="Development"/>
    <s v=""/>
    <n v="3"/>
    <x v="0"/>
  </r>
  <r>
    <n v="10092"/>
    <s v="10/18/1964"/>
    <s v="Valdiodio"/>
    <s v="Niizuma"/>
    <s v="F"/>
    <d v="1989-09-22T00:00:00"/>
    <n v="10"/>
    <s v="C"/>
    <n v="0"/>
    <s v=""/>
    <n v="53977"/>
    <x v="0"/>
    <s v="Engineer"/>
    <d v="1964-10-18T00:00:00"/>
    <d v="1989-09-22T00:00:00"/>
    <m/>
    <s v="Development"/>
    <s v=""/>
    <n v="2"/>
    <x v="0"/>
  </r>
  <r>
    <n v="10093"/>
    <s v="6/11/1964"/>
    <s v="Sailaja"/>
    <s v="Desikan"/>
    <s v="M"/>
    <d v="1996-11-05T00:00:00"/>
    <n v="8"/>
    <s v="B"/>
    <n v="0"/>
    <s v=""/>
    <n v="67856"/>
    <x v="2"/>
    <s v="Staff"/>
    <d v="1964-06-11T00:00:00"/>
    <d v="1996-11-05T00:00:00"/>
    <m/>
    <s v="Sales"/>
    <s v=""/>
    <n v="3"/>
    <x v="0"/>
  </r>
  <r>
    <n v="425656"/>
    <s v="10/10/1964"/>
    <s v="Basem"/>
    <s v="Imataki"/>
    <s v="M"/>
    <d v="1987-07-01T00:00:00"/>
    <n v="4"/>
    <s v="B"/>
    <n v="0"/>
    <s v=""/>
    <n v="40000"/>
    <x v="4"/>
    <s v="Staff"/>
    <d v="1964-10-10T00:00:00"/>
    <d v="1987-07-01T00:00:00"/>
    <m/>
    <s v="Research"/>
    <s v=""/>
    <n v="3"/>
    <x v="0"/>
  </r>
  <r>
    <n v="10094"/>
    <s v="5/25/1957"/>
    <s v="Arumugam"/>
    <s v="Ossenbruggen"/>
    <s v="F"/>
    <d v="1987-04-18T00:00:00"/>
    <n v="10"/>
    <s v="B"/>
    <n v="0"/>
    <s v=""/>
    <n v="58001"/>
    <x v="4"/>
    <s v="Senior Staff"/>
    <d v="1957-05-25T00:00:00"/>
    <d v="1987-04-18T00:00:00"/>
    <m/>
    <s v="Research"/>
    <s v=""/>
    <n v="3"/>
    <x v="0"/>
  </r>
  <r>
    <n v="10095"/>
    <s v="1/3/1965"/>
    <s v="Hilari"/>
    <s v="Morton"/>
    <s v="M"/>
    <d v="1986-07-15T00:00:00"/>
    <n v="8"/>
    <s v="C"/>
    <n v="0"/>
    <s v=""/>
    <n v="63668"/>
    <x v="2"/>
    <s v="Staff"/>
    <d v="1965-01-03T00:00:00"/>
    <d v="1986-07-15T00:00:00"/>
    <m/>
    <s v="Sales"/>
    <s v=""/>
    <n v="2"/>
    <x v="0"/>
  </r>
  <r>
    <n v="252000"/>
    <s v="12/3/1952"/>
    <s v="Zhonghui"/>
    <s v="Gyimothy"/>
    <s v="F"/>
    <d v="1989-03-02T00:00:00"/>
    <n v="10"/>
    <s v="B"/>
    <n v="0"/>
    <s v=""/>
    <n v="40000"/>
    <x v="5"/>
    <s v="Assistant Engineer"/>
    <d v="1952-12-03T00:00:00"/>
    <d v="1989-03-02T00:00:00"/>
    <m/>
    <s v="Quality Management"/>
    <s v=""/>
    <n v="3"/>
    <x v="0"/>
  </r>
  <r>
    <n v="10096"/>
    <s v="9/16/1954"/>
    <s v="Jayson"/>
    <s v="Mandell"/>
    <s v="M"/>
    <d v="1990-01-14T00:00:00"/>
    <n v="1"/>
    <s v="S"/>
    <n v="0"/>
    <s v=""/>
    <n v="61395"/>
    <x v="1"/>
    <s v="Engineer"/>
    <d v="1954-09-16T00:00:00"/>
    <d v="1990-01-14T00:00:00"/>
    <m/>
    <s v="Production"/>
    <s v=""/>
    <n v="5"/>
    <x v="0"/>
  </r>
  <r>
    <n v="10097"/>
    <s v="2/27/1952"/>
    <s v="Remzi"/>
    <s v="Waschkowski"/>
    <s v="M"/>
    <d v="1990-09-15T00:00:00"/>
    <n v="2"/>
    <s v="A"/>
    <n v="0"/>
    <s v=""/>
    <n v="44886"/>
    <x v="4"/>
    <s v="Staff"/>
    <d v="1952-02-27T00:00:00"/>
    <d v="1990-09-15T00:00:00"/>
    <m/>
    <s v="Research"/>
    <s v=""/>
    <n v="4"/>
    <x v="0"/>
  </r>
  <r>
    <n v="10098"/>
    <s v="9/23/1961"/>
    <s v="Sreekrishna"/>
    <s v="Servieres"/>
    <s v="F"/>
    <d v="1985-05-13T00:00:00"/>
    <n v="4"/>
    <s v="A"/>
    <n v="0"/>
    <s v=""/>
    <n v="40000"/>
    <x v="1"/>
    <s v="Senior Engineer"/>
    <d v="1961-09-23T00:00:00"/>
    <d v="1985-05-13T00:00:00"/>
    <m/>
    <s v="Production"/>
    <s v=""/>
    <n v="4"/>
    <x v="0"/>
  </r>
  <r>
    <n v="10098"/>
    <s v="9/23/1961"/>
    <s v="Sreekrishna"/>
    <s v="Servieres"/>
    <s v="F"/>
    <d v="1985-05-13T00:00:00"/>
    <n v="4"/>
    <s v="A"/>
    <n v="0"/>
    <s v=""/>
    <n v="40000"/>
    <x v="6"/>
    <s v="Senior Engineer"/>
    <d v="1961-09-23T00:00:00"/>
    <d v="1985-05-13T00:00:00"/>
    <m/>
    <s v="Customer Service"/>
    <s v=""/>
    <n v="4"/>
    <x v="0"/>
  </r>
  <r>
    <n v="103676"/>
    <s v="12/2/1964"/>
    <s v="Karoline"/>
    <s v="Matzov"/>
    <s v="F"/>
    <d v="1987-08-06T00:00:00"/>
    <n v="3"/>
    <s v="B"/>
    <n v="0"/>
    <s v=""/>
    <n v="62128"/>
    <x v="1"/>
    <s v="Senior Engineer"/>
    <d v="1964-12-02T00:00:00"/>
    <d v="1987-08-06T00:00:00"/>
    <m/>
    <s v="Production"/>
    <s v=""/>
    <n v="3"/>
    <x v="0"/>
  </r>
  <r>
    <n v="103676"/>
    <s v="12/2/1964"/>
    <s v="Karoline"/>
    <s v="Matzov"/>
    <s v="F"/>
    <d v="1987-08-06T00:00:00"/>
    <n v="3"/>
    <s v="B"/>
    <n v="0"/>
    <s v=""/>
    <n v="62128"/>
    <x v="0"/>
    <s v="Senior Engineer"/>
    <d v="1964-12-02T00:00:00"/>
    <d v="1987-08-06T00:00:00"/>
    <m/>
    <s v="Development"/>
    <s v=""/>
    <n v="3"/>
    <x v="0"/>
  </r>
  <r>
    <n v="10099"/>
    <s v="5/25/1956"/>
    <s v="Valter"/>
    <s v="Sullins"/>
    <s v="F"/>
    <d v="1988-10-18T00:00:00"/>
    <n v="5"/>
    <s v="C"/>
    <n v="0"/>
    <s v=""/>
    <n v="68781"/>
    <x v="2"/>
    <s v="Staff"/>
    <d v="1956-05-25T00:00:00"/>
    <d v="1988-10-18T00:00:00"/>
    <m/>
    <s v="Sales"/>
    <s v=""/>
    <n v="2"/>
    <x v="0"/>
  </r>
  <r>
    <n v="10100"/>
    <s v="4/21/1953"/>
    <s v="Hironobu"/>
    <s v="Haraldson"/>
    <s v="F"/>
    <d v="1987-09-21T00:00:00"/>
    <n v="6"/>
    <s v="B"/>
    <n v="0"/>
    <s v=""/>
    <n v="54398"/>
    <x v="3"/>
    <s v="Staff"/>
    <d v="1953-04-21T00:00:00"/>
    <d v="1987-09-21T00:00:00"/>
    <m/>
    <s v="Human Resources"/>
    <s v=""/>
    <n v="3"/>
    <x v="0"/>
  </r>
  <r>
    <n v="93916"/>
    <s v="8/14/1957"/>
    <s v="Rosalie"/>
    <s v="Rousseau"/>
    <s v="F"/>
    <d v="1998-11-07T00:00:00"/>
    <n v="3"/>
    <s v="B"/>
    <n v="0"/>
    <s v=""/>
    <n v="53040"/>
    <x v="0"/>
    <s v="Engineer"/>
    <d v="1957-08-14T00:00:00"/>
    <d v="1998-11-07T00:00:00"/>
    <m/>
    <s v="Development"/>
    <s v=""/>
    <n v="3"/>
    <x v="1"/>
  </r>
  <r>
    <n v="93916"/>
    <s v="8/14/1957"/>
    <s v="Rosalie"/>
    <s v="Rousseau"/>
    <s v="F"/>
    <d v="1998-11-07T00:00:00"/>
    <n v="3"/>
    <s v="B"/>
    <n v="0"/>
    <s v=""/>
    <n v="53040"/>
    <x v="4"/>
    <s v="Engineer"/>
    <d v="1957-08-14T00:00:00"/>
    <d v="1998-11-07T00:00:00"/>
    <m/>
    <s v="Research"/>
    <s v=""/>
    <n v="3"/>
    <x v="1"/>
  </r>
  <r>
    <n v="10101"/>
    <s v="4/15/1952"/>
    <s v="Perla"/>
    <s v="Heyers"/>
    <s v="F"/>
    <d v="1992-12-28T00:00:00"/>
    <n v="9"/>
    <s v="B"/>
    <n v="0"/>
    <s v=""/>
    <n v="66591"/>
    <x v="2"/>
    <s v="Staff"/>
    <d v="1952-04-15T00:00:00"/>
    <d v="1992-12-28T00:00:00"/>
    <m/>
    <s v="Sales"/>
    <s v=""/>
    <n v="3"/>
    <x v="0"/>
  </r>
  <r>
    <n v="10102"/>
    <s v="11/4/1959"/>
    <s v="Paraskevi"/>
    <s v="Luby"/>
    <s v="F"/>
    <d v="1994-01-26T00:00:00"/>
    <n v="3"/>
    <s v="A"/>
    <n v="1"/>
    <s v="1/15/2003"/>
    <n v="44380"/>
    <x v="1"/>
    <s v="Engineer"/>
    <d v="1959-11-04T00:00:00"/>
    <d v="1994-01-26T00:00:00"/>
    <d v="2003-01-15T00:00:00"/>
    <s v="Production"/>
    <n v="8.9691991786447645"/>
    <n v="4"/>
    <x v="0"/>
  </r>
  <r>
    <n v="430653"/>
    <s v="8/25/1960"/>
    <s v="Masoud"/>
    <s v="Peroz"/>
    <s v="F"/>
    <d v="1989-09-30T00:00:00"/>
    <n v="4"/>
    <s v="A"/>
    <n v="0"/>
    <s v=""/>
    <n v="69077"/>
    <x v="0"/>
    <s v="Senior Engineer"/>
    <d v="1960-08-25T00:00:00"/>
    <d v="1989-09-30T00:00:00"/>
    <m/>
    <s v="Development"/>
    <s v=""/>
    <n v="4"/>
    <x v="0"/>
  </r>
  <r>
    <n v="10103"/>
    <s v="11/26/1953"/>
    <s v="Akemi"/>
    <s v="Birch"/>
    <s v="M"/>
    <d v="1986-12-02T00:00:00"/>
    <n v="5"/>
    <s v="B"/>
    <n v="0"/>
    <s v=""/>
    <n v="68158"/>
    <x v="0"/>
    <s v="Engineer"/>
    <d v="1953-11-26T00:00:00"/>
    <d v="1986-12-02T00:00:00"/>
    <m/>
    <s v="Development"/>
    <s v=""/>
    <n v="3"/>
    <x v="0"/>
  </r>
  <r>
    <n v="10104"/>
    <s v="11/19/1961"/>
    <s v="Xinyu"/>
    <s v="Warwick"/>
    <s v="M"/>
    <d v="1987-04-16T00:00:00"/>
    <n v="5"/>
    <s v="B"/>
    <n v="0"/>
    <s v=""/>
    <n v="45312"/>
    <x v="4"/>
    <s v="Senior Staff"/>
    <d v="1961-11-19T00:00:00"/>
    <d v="1987-04-16T00:00:00"/>
    <m/>
    <s v="Research"/>
    <s v=""/>
    <n v="3"/>
    <x v="0"/>
  </r>
  <r>
    <n v="293744"/>
    <s v="4/29/1952"/>
    <s v="Kolar"/>
    <s v="Carrere"/>
    <s v="M"/>
    <d v="1987-06-30T00:00:00"/>
    <n v="2"/>
    <s v="B"/>
    <n v="0"/>
    <s v=""/>
    <n v="40000"/>
    <x v="7"/>
    <s v="Staff"/>
    <d v="1952-04-29T00:00:00"/>
    <d v="1987-06-30T00:00:00"/>
    <m/>
    <s v="Finance"/>
    <s v=""/>
    <n v="3"/>
    <x v="0"/>
  </r>
  <r>
    <n v="293744"/>
    <s v="4/29/1952"/>
    <s v="Kolar"/>
    <s v="Carrere"/>
    <s v="M"/>
    <d v="1987-06-30T00:00:00"/>
    <n v="2"/>
    <s v="B"/>
    <n v="0"/>
    <s v=""/>
    <n v="40000"/>
    <x v="3"/>
    <s v="Staff"/>
    <d v="1952-04-29T00:00:00"/>
    <d v="1987-06-30T00:00:00"/>
    <m/>
    <s v="Human Resources"/>
    <s v=""/>
    <n v="3"/>
    <x v="0"/>
  </r>
  <r>
    <n v="10105"/>
    <s v="2/5/1962"/>
    <s v="Hironoby"/>
    <s v="Piveteau"/>
    <s v="M"/>
    <d v="1999-03-23T00:00:00"/>
    <n v="2"/>
    <s v="C"/>
    <n v="0"/>
    <s v=""/>
    <n v="59258"/>
    <x v="3"/>
    <s v="Staff"/>
    <d v="1962-02-05T00:00:00"/>
    <d v="1999-03-23T00:00:00"/>
    <m/>
    <s v="Human Resources"/>
    <s v=""/>
    <n v="2"/>
    <x v="1"/>
  </r>
  <r>
    <n v="10106"/>
    <s v="8/29/1952"/>
    <s v="Eben"/>
    <s v="Aingworth"/>
    <s v="M"/>
    <d v="1990-12-19T00:00:00"/>
    <n v="4"/>
    <s v="C"/>
    <n v="0"/>
    <s v=""/>
    <n v="62928"/>
    <x v="1"/>
    <s v="Senior Engineer"/>
    <d v="1952-08-29T00:00:00"/>
    <d v="1990-12-19T00:00:00"/>
    <m/>
    <s v="Production"/>
    <s v=""/>
    <n v="2"/>
    <x v="0"/>
  </r>
  <r>
    <n v="222134"/>
    <s v="3/10/1962"/>
    <s v="Qunsheng"/>
    <s v="Speer"/>
    <s v="M"/>
    <d v="1986-02-13T00:00:00"/>
    <n v="3"/>
    <s v="A"/>
    <n v="0"/>
    <s v=""/>
    <n v="48391"/>
    <x v="0"/>
    <s v="Senior Engineer"/>
    <d v="1962-03-10T00:00:00"/>
    <d v="1986-02-13T00:00:00"/>
    <m/>
    <s v="Development"/>
    <s v=""/>
    <n v="4"/>
    <x v="0"/>
  </r>
  <r>
    <n v="10107"/>
    <s v="6/13/1956"/>
    <s v="Dung"/>
    <s v="Baca"/>
    <s v="F"/>
    <d v="1994-03-22T00:00:00"/>
    <n v="7"/>
    <s v="S"/>
    <n v="0"/>
    <s v=""/>
    <n v="93159"/>
    <x v="2"/>
    <s v="Senior Staff"/>
    <d v="1956-06-13T00:00:00"/>
    <d v="1994-03-22T00:00:00"/>
    <m/>
    <s v="Sales"/>
    <s v=""/>
    <n v="5"/>
    <x v="0"/>
  </r>
  <r>
    <n v="10108"/>
    <s v="4/7/1952"/>
    <s v="Lunjin"/>
    <s v="Giveon"/>
    <s v="M"/>
    <d v="1986-10-02T00:00:00"/>
    <n v="2"/>
    <s v="A"/>
    <n v="0"/>
    <s v=""/>
    <n v="40000"/>
    <x v="8"/>
    <s v="Staff"/>
    <d v="1952-04-07T00:00:00"/>
    <d v="1986-10-02T00:00:00"/>
    <m/>
    <s v="Marketing"/>
    <s v=""/>
    <n v="4"/>
    <x v="0"/>
  </r>
  <r>
    <n v="10108"/>
    <s v="4/7/1952"/>
    <s v="Lunjin"/>
    <s v="Giveon"/>
    <s v="M"/>
    <d v="1986-10-02T00:00:00"/>
    <n v="2"/>
    <s v="A"/>
    <n v="0"/>
    <s v=""/>
    <n v="40000"/>
    <x v="3"/>
    <s v="Staff"/>
    <d v="1952-04-07T00:00:00"/>
    <d v="1986-10-02T00:00:00"/>
    <m/>
    <s v="Human Resources"/>
    <s v=""/>
    <n v="4"/>
    <x v="0"/>
  </r>
  <r>
    <n v="465348"/>
    <s v="7/10/1958"/>
    <s v="Limsoon"/>
    <s v="Beznosov"/>
    <s v="M"/>
    <d v="1992-02-09T00:00:00"/>
    <n v="3"/>
    <s v="B"/>
    <n v="0"/>
    <s v=""/>
    <n v="40000"/>
    <x v="0"/>
    <s v="Engineer"/>
    <d v="1958-07-10T00:00:00"/>
    <d v="1992-02-09T00:00:00"/>
    <m/>
    <s v="Development"/>
    <s v=""/>
    <n v="3"/>
    <x v="0"/>
  </r>
  <r>
    <n v="10109"/>
    <s v="11/25/1958"/>
    <s v="Mariusz"/>
    <s v="Prampolini"/>
    <s v="F"/>
    <d v="1993-06-16T00:00:00"/>
    <n v="7"/>
    <s v="A"/>
    <n v="0"/>
    <s v=""/>
    <n v="40000"/>
    <x v="1"/>
    <s v="Senior Engineer"/>
    <d v="1958-11-25T00:00:00"/>
    <d v="1993-06-16T00:00:00"/>
    <m/>
    <s v="Production"/>
    <s v=""/>
    <n v="4"/>
    <x v="0"/>
  </r>
  <r>
    <n v="92149"/>
    <s v="3/19/1957"/>
    <s v="Serenella"/>
    <s v="Kamber"/>
    <s v="F"/>
    <d v="1988-09-14T00:00:00"/>
    <n v="4"/>
    <s v="B"/>
    <n v="0"/>
    <s v=""/>
    <n v="69585"/>
    <x v="7"/>
    <s v="Staff"/>
    <d v="1957-03-19T00:00:00"/>
    <d v="1988-09-14T00:00:00"/>
    <m/>
    <s v="Finance"/>
    <s v=""/>
    <n v="3"/>
    <x v="0"/>
  </r>
  <r>
    <n v="10110"/>
    <s v="3/7/1957"/>
    <s v="Xuejia"/>
    <s v="Ullian"/>
    <s v="F"/>
    <d v="1986-08-22T00:00:00"/>
    <n v="9"/>
    <s v="A"/>
    <n v="0"/>
    <s v=""/>
    <n v="46836"/>
    <x v="3"/>
    <s v="Staff"/>
    <d v="1957-03-07T00:00:00"/>
    <d v="1986-08-22T00:00:00"/>
    <m/>
    <s v="Human Resources"/>
    <s v=""/>
    <n v="4"/>
    <x v="0"/>
  </r>
  <r>
    <n v="10111"/>
    <s v="8/29/1963"/>
    <s v="Hugo"/>
    <s v="Rosis"/>
    <s v="F"/>
    <d v="1988-06-19T00:00:00"/>
    <n v="6"/>
    <s v="A"/>
    <n v="0"/>
    <s v=""/>
    <n v="40000"/>
    <x v="5"/>
    <s v="Senior Engineer"/>
    <d v="1963-08-29T00:00:00"/>
    <d v="1988-06-19T00:00:00"/>
    <m/>
    <s v="Quality Management"/>
    <s v=""/>
    <n v="4"/>
    <x v="0"/>
  </r>
  <r>
    <n v="406318"/>
    <s v="10/3/1952"/>
    <s v="Hitomi"/>
    <s v="Gunderson"/>
    <s v="M"/>
    <d v="1987-11-22T00:00:00"/>
    <n v="9"/>
    <s v="A"/>
    <n v="0"/>
    <s v=""/>
    <n v="55145"/>
    <x v="0"/>
    <s v="Senior Engineer"/>
    <d v="1952-10-03T00:00:00"/>
    <d v="1987-11-22T00:00:00"/>
    <m/>
    <s v="Development"/>
    <s v=""/>
    <n v="4"/>
    <x v="0"/>
  </r>
  <r>
    <n v="10112"/>
    <s v="8/13/1963"/>
    <s v="Yuichiro"/>
    <s v="Swick"/>
    <s v="F"/>
    <d v="1985-10-08T00:00:00"/>
    <n v="2"/>
    <s v="C"/>
    <n v="0"/>
    <s v=""/>
    <n v="49500"/>
    <x v="6"/>
    <s v="Staff"/>
    <d v="1963-08-13T00:00:00"/>
    <d v="1985-10-08T00:00:00"/>
    <m/>
    <s v="Customer Service"/>
    <s v=""/>
    <n v="2"/>
    <x v="0"/>
  </r>
  <r>
    <n v="10113"/>
    <s v="11/13/1963"/>
    <s v="Jaewon"/>
    <s v="Syrzycki"/>
    <s v="M"/>
    <d v="1989-12-24T00:00:00"/>
    <n v="10"/>
    <s v="A"/>
    <n v="0"/>
    <s v=""/>
    <n v="69856"/>
    <x v="1"/>
    <s v="Engineer"/>
    <d v="1963-11-13T00:00:00"/>
    <d v="1989-12-24T00:00:00"/>
    <m/>
    <s v="Production"/>
    <s v=""/>
    <n v="4"/>
    <x v="0"/>
  </r>
  <r>
    <n v="259126"/>
    <s v="7/5/1953"/>
    <s v="Dines"/>
    <s v="Encarnacion"/>
    <s v="M"/>
    <d v="1986-08-02T00:00:00"/>
    <n v="2"/>
    <s v="C"/>
    <n v="0"/>
    <s v=""/>
    <n v="70329"/>
    <x v="8"/>
    <s v="Staff"/>
    <d v="1953-07-05T00:00:00"/>
    <d v="1986-08-02T00:00:00"/>
    <m/>
    <s v="Marketing"/>
    <s v=""/>
    <n v="2"/>
    <x v="0"/>
  </r>
  <r>
    <n v="10114"/>
    <s v="2/16/1957"/>
    <s v="Munir"/>
    <s v="Demeyer"/>
    <s v="F"/>
    <d v="1992-07-17T00:00:00"/>
    <n v="6"/>
    <s v="PIP"/>
    <n v="0"/>
    <s v=""/>
    <n v="49593"/>
    <x v="4"/>
    <s v="Staff"/>
    <d v="1957-02-16T00:00:00"/>
    <d v="1992-07-17T00:00:00"/>
    <m/>
    <s v="Research"/>
    <s v=""/>
    <n v="1"/>
    <x v="0"/>
  </r>
  <r>
    <n v="10115"/>
    <s v="12/25/1964"/>
    <s v="Chikara"/>
    <s v="Rissland"/>
    <s v="M"/>
    <d v="1986-01-23T00:00:00"/>
    <n v="1"/>
    <s v="A"/>
    <n v="0"/>
    <s v=""/>
    <n v="40000"/>
    <x v="6"/>
    <s v="Staff"/>
    <d v="1964-12-25T00:00:00"/>
    <d v="1986-01-23T00:00:00"/>
    <m/>
    <s v="Customer Service"/>
    <s v=""/>
    <n v="4"/>
    <x v="0"/>
  </r>
  <r>
    <n v="42625"/>
    <s v="12/12/1957"/>
    <s v="Harngdar"/>
    <s v="Swick"/>
    <s v="F"/>
    <d v="1986-05-28T00:00:00"/>
    <n v="1"/>
    <s v="A"/>
    <n v="0"/>
    <s v=""/>
    <n v="55095"/>
    <x v="2"/>
    <s v="Staff"/>
    <d v="1957-12-12T00:00:00"/>
    <d v="1986-05-28T00:00:00"/>
    <m/>
    <s v="Sales"/>
    <s v=""/>
    <n v="4"/>
    <x v="0"/>
  </r>
  <r>
    <n v="10116"/>
    <s v="8/26/1955"/>
    <s v="Dayanand"/>
    <s v="Czap"/>
    <s v="F"/>
    <d v="1985-05-28T00:00:00"/>
    <n v="3"/>
    <s v="A"/>
    <n v="0"/>
    <s v=""/>
    <n v="44034"/>
    <x v="0"/>
    <s v="Senior Engineer"/>
    <d v="1955-08-26T00:00:00"/>
    <d v="1985-05-28T00:00:00"/>
    <m/>
    <s v="Development"/>
    <s v=""/>
    <n v="4"/>
    <x v="0"/>
  </r>
  <r>
    <n v="10116"/>
    <s v="8/26/1955"/>
    <s v="Dayanand"/>
    <s v="Czap"/>
    <s v="F"/>
    <d v="1985-05-28T00:00:00"/>
    <n v="3"/>
    <s v="A"/>
    <n v="0"/>
    <s v=""/>
    <n v="44034"/>
    <x v="4"/>
    <s v="Senior Engineer"/>
    <d v="1955-08-26T00:00:00"/>
    <d v="1985-05-28T00:00:00"/>
    <m/>
    <s v="Research"/>
    <s v=""/>
    <n v="4"/>
    <x v="0"/>
  </r>
  <r>
    <n v="85093"/>
    <s v="1/30/1959"/>
    <s v="Nectarios"/>
    <s v="Covnot"/>
    <s v="M"/>
    <d v="1990-04-24T00:00:00"/>
    <n v="6"/>
    <s v="A"/>
    <n v="0"/>
    <s v=""/>
    <n v="97816"/>
    <x v="2"/>
    <s v="Senior Staff"/>
    <d v="1959-01-30T00:00:00"/>
    <d v="1990-04-24T00:00:00"/>
    <m/>
    <s v="Sales"/>
    <s v=""/>
    <n v="4"/>
    <x v="0"/>
  </r>
  <r>
    <n v="10117"/>
    <s v="10/24/1961"/>
    <s v="Kiyotoshi"/>
    <s v="Blokdijk"/>
    <s v="F"/>
    <d v="1990-05-28T00:00:00"/>
    <n v="6"/>
    <s v="A"/>
    <n v="0"/>
    <s v=""/>
    <n v="52284"/>
    <x v="1"/>
    <s v="Senior Engineer"/>
    <d v="1961-10-24T00:00:00"/>
    <d v="1990-05-28T00:00:00"/>
    <m/>
    <s v="Production"/>
    <s v=""/>
    <n v="4"/>
    <x v="0"/>
  </r>
  <r>
    <n v="10118"/>
    <s v="3/29/1957"/>
    <s v="Zhonghui"/>
    <s v="Zyda"/>
    <s v="F"/>
    <d v="1990-09-13T00:00:00"/>
    <n v="6"/>
    <s v="B"/>
    <n v="0"/>
    <s v=""/>
    <n v="40000"/>
    <x v="0"/>
    <s v="Senior Engineer"/>
    <d v="1957-03-29T00:00:00"/>
    <d v="1990-09-13T00:00:00"/>
    <m/>
    <s v="Development"/>
    <s v=""/>
    <n v="3"/>
    <x v="0"/>
  </r>
  <r>
    <n v="281320"/>
    <s v="12/14/1960"/>
    <s v="Karoline"/>
    <s v="Ratzlaff"/>
    <s v="F"/>
    <d v="1995-02-10T00:00:00"/>
    <n v="2"/>
    <s v="C"/>
    <n v="1"/>
    <s v="2/17/1997"/>
    <n v="41600"/>
    <x v="0"/>
    <s v="Senior Engineer"/>
    <d v="1960-12-14T00:00:00"/>
    <d v="1995-02-10T00:00:00"/>
    <d v="1997-02-17T00:00:00"/>
    <s v="Development"/>
    <n v="2.020533880903491"/>
    <n v="2"/>
    <x v="0"/>
  </r>
  <r>
    <n v="10119"/>
    <s v="12/1/1960"/>
    <s v="Domenick"/>
    <s v="Peltason"/>
    <s v="M"/>
    <d v="1986-03-14T00:00:00"/>
    <n v="9"/>
    <s v="C"/>
    <n v="0"/>
    <s v=""/>
    <n v="53551"/>
    <x v="1"/>
    <s v="Engineer"/>
    <d v="1960-12-01T00:00:00"/>
    <d v="1986-03-14T00:00:00"/>
    <m/>
    <s v="Production"/>
    <s v=""/>
    <n v="2"/>
    <x v="0"/>
  </r>
  <r>
    <n v="10120"/>
    <s v="3/26/1960"/>
    <s v="Armond"/>
    <s v="Fairtlough"/>
    <s v="F"/>
    <d v="1996-07-06T00:00:00"/>
    <n v="6"/>
    <s v="A"/>
    <n v="0"/>
    <s v=""/>
    <n v="46292"/>
    <x v="1"/>
    <s v="Engineer"/>
    <d v="1960-03-26T00:00:00"/>
    <d v="1996-07-06T00:00:00"/>
    <m/>
    <s v="Production"/>
    <s v=""/>
    <n v="4"/>
    <x v="0"/>
  </r>
  <r>
    <n v="402202"/>
    <s v="10/14/1959"/>
    <s v="Leni"/>
    <s v="Pusterhofer"/>
    <s v="M"/>
    <d v="1995-01-29T00:00:00"/>
    <n v="10"/>
    <s v="A"/>
    <n v="0"/>
    <s v=""/>
    <n v="41006"/>
    <x v="0"/>
    <s v="Technique Leader"/>
    <d v="1959-10-14T00:00:00"/>
    <d v="1995-01-29T00:00:00"/>
    <m/>
    <s v="Development"/>
    <s v=""/>
    <n v="4"/>
    <x v="0"/>
  </r>
  <r>
    <n v="10121"/>
    <s v="7/14/1962"/>
    <s v="Guoxiang"/>
    <s v="Ramsay"/>
    <s v="M"/>
    <d v="1989-05-03T00:00:00"/>
    <n v="10"/>
    <s v="B"/>
    <n v="0"/>
    <s v=""/>
    <n v="43772"/>
    <x v="0"/>
    <s v="Senior Engineer"/>
    <d v="1962-07-14T00:00:00"/>
    <d v="1989-05-03T00:00:00"/>
    <m/>
    <s v="Development"/>
    <s v=""/>
    <n v="3"/>
    <x v="0"/>
  </r>
  <r>
    <n v="10122"/>
    <s v="1/19/1965"/>
    <s v="Ohad"/>
    <s v="Esposito"/>
    <s v="M"/>
    <d v="1992-12-23T00:00:00"/>
    <n v="6"/>
    <s v="A"/>
    <n v="0"/>
    <s v=""/>
    <n v="42284"/>
    <x v="0"/>
    <s v="Technique Leader"/>
    <d v="1965-01-19T00:00:00"/>
    <d v="1992-12-23T00:00:00"/>
    <m/>
    <s v="Development"/>
    <s v=""/>
    <n v="4"/>
    <x v="0"/>
  </r>
  <r>
    <n v="419277"/>
    <s v="10/10/1953"/>
    <s v="Freyja"/>
    <s v="Uhrig"/>
    <s v="M"/>
    <d v="1986-12-20T00:00:00"/>
    <n v="4"/>
    <s v="PIP"/>
    <n v="0"/>
    <s v=""/>
    <n v="46833"/>
    <x v="0"/>
    <s v="Technique Leader"/>
    <d v="1953-10-10T00:00:00"/>
    <d v="1986-12-20T00:00:00"/>
    <m/>
    <s v="Development"/>
    <s v=""/>
    <n v="1"/>
    <x v="0"/>
  </r>
  <r>
    <n v="10123"/>
    <s v="5/12/1962"/>
    <s v="Hinrich"/>
    <s v="Randi"/>
    <s v="M"/>
    <d v="1993-01-15T00:00:00"/>
    <n v="1"/>
    <s v="A"/>
    <n v="0"/>
    <s v=""/>
    <n v="71524"/>
    <x v="1"/>
    <s v="Engineer"/>
    <d v="1962-05-12T00:00:00"/>
    <d v="1993-01-15T00:00:00"/>
    <m/>
    <s v="Production"/>
    <s v=""/>
    <n v="4"/>
    <x v="0"/>
  </r>
  <r>
    <n v="10124"/>
    <s v="5/23/1962"/>
    <s v="Geraldo"/>
    <s v="Marwedel"/>
    <s v="M"/>
    <d v="1991-09-05T00:00:00"/>
    <n v="8"/>
    <s v="C"/>
    <n v="0"/>
    <s v=""/>
    <n v="40583"/>
    <x v="1"/>
    <s v="Senior Engineer"/>
    <d v="1962-05-23T00:00:00"/>
    <d v="1991-09-05T00:00:00"/>
    <m/>
    <s v="Production"/>
    <s v=""/>
    <n v="2"/>
    <x v="0"/>
  </r>
  <r>
    <n v="10124"/>
    <s v="5/23/1962"/>
    <s v="Geraldo"/>
    <s v="Marwedel"/>
    <s v="M"/>
    <d v="1991-09-05T00:00:00"/>
    <n v="8"/>
    <s v="C"/>
    <n v="0"/>
    <s v=""/>
    <n v="40583"/>
    <x v="5"/>
    <s v="Senior Engineer"/>
    <d v="1962-05-23T00:00:00"/>
    <d v="1991-09-05T00:00:00"/>
    <m/>
    <s v="Quality Management"/>
    <s v=""/>
    <n v="2"/>
    <x v="0"/>
  </r>
  <r>
    <n v="451259"/>
    <s v="9/18/1956"/>
    <s v="Zhenhua"/>
    <s v="Milicic"/>
    <s v="M"/>
    <d v="1986-08-04T00:00:00"/>
    <n v="10"/>
    <s v="B"/>
    <n v="0"/>
    <s v=""/>
    <n v="46138"/>
    <x v="3"/>
    <s v="Staff"/>
    <d v="1956-09-18T00:00:00"/>
    <d v="1986-08-04T00:00:00"/>
    <m/>
    <s v="Human Resources"/>
    <s v=""/>
    <n v="3"/>
    <x v="0"/>
  </r>
  <r>
    <n v="10125"/>
    <s v="9/13/1957"/>
    <s v="Syozo"/>
    <s v="Hiltgen"/>
    <s v="F"/>
    <d v="1990-10-26T00:00:00"/>
    <n v="10"/>
    <s v="C"/>
    <n v="0"/>
    <s v=""/>
    <n v="58249"/>
    <x v="2"/>
    <s v="Staff"/>
    <d v="1957-09-13T00:00:00"/>
    <d v="1990-10-26T00:00:00"/>
    <m/>
    <s v="Sales"/>
    <s v=""/>
    <n v="2"/>
    <x v="0"/>
  </r>
  <r>
    <n v="225842"/>
    <s v="3/13/1952"/>
    <s v="Bowen"/>
    <s v="Schmezko"/>
    <s v="M"/>
    <d v="1986-05-30T00:00:00"/>
    <n v="3"/>
    <s v="B"/>
    <n v="0"/>
    <s v=""/>
    <n v="40000"/>
    <x v="0"/>
    <s v="Engineer"/>
    <d v="1952-03-13T00:00:00"/>
    <d v="1986-05-30T00:00:00"/>
    <m/>
    <s v="Development"/>
    <s v=""/>
    <n v="3"/>
    <x v="0"/>
  </r>
  <r>
    <n v="10126"/>
    <s v="8/7/1954"/>
    <s v="Kayoko"/>
    <s v="Valtorta"/>
    <s v="M"/>
    <d v="1985-09-08T00:00:00"/>
    <n v="10"/>
    <s v="A"/>
    <n v="0"/>
    <s v=""/>
    <n v="40000"/>
    <x v="6"/>
    <s v="Staff"/>
    <d v="1954-08-07T00:00:00"/>
    <d v="1985-09-08T00:00:00"/>
    <m/>
    <s v="Customer Service"/>
    <s v=""/>
    <n v="4"/>
    <x v="0"/>
  </r>
  <r>
    <n v="10127"/>
    <s v="2/24/1952"/>
    <s v="Subir"/>
    <s v="Baja"/>
    <s v="F"/>
    <d v="1989-01-14T00:00:00"/>
    <n v="3"/>
    <s v="A"/>
    <n v="1"/>
    <s v="6/1/1995"/>
    <n v="40000"/>
    <x v="0"/>
    <s v="Senior Engineer"/>
    <d v="1952-02-24T00:00:00"/>
    <d v="1989-01-14T00:00:00"/>
    <d v="1995-06-01T00:00:00"/>
    <s v="Development"/>
    <n v="6.3764544832306642"/>
    <n v="4"/>
    <x v="0"/>
  </r>
  <r>
    <n v="62038"/>
    <s v="9/27/1959"/>
    <s v="Shiv"/>
    <s v="Narlikar"/>
    <s v="F"/>
    <d v="1987-09-03T00:00:00"/>
    <n v="1"/>
    <s v="B"/>
    <n v="1"/>
    <s v="4/18/1997"/>
    <n v="60105"/>
    <x v="4"/>
    <s v="Staff"/>
    <d v="1959-09-27T00:00:00"/>
    <d v="1987-09-03T00:00:00"/>
    <d v="1997-04-18T00:00:00"/>
    <s v="Research"/>
    <n v="9.6235455167693367"/>
    <n v="3"/>
    <x v="0"/>
  </r>
  <r>
    <n v="10128"/>
    <s v="2/15/1958"/>
    <s v="Babette"/>
    <s v="Lamba"/>
    <s v="F"/>
    <d v="1988-06-06T00:00:00"/>
    <n v="5"/>
    <s v="C"/>
    <n v="0"/>
    <s v=""/>
    <n v="40000"/>
    <x v="6"/>
    <s v="Staff"/>
    <d v="1958-02-15T00:00:00"/>
    <d v="1988-06-06T00:00:00"/>
    <m/>
    <s v="Customer Service"/>
    <s v=""/>
    <n v="2"/>
    <x v="0"/>
  </r>
  <r>
    <n v="10129"/>
    <s v="12/2/1955"/>
    <s v="Armond"/>
    <s v="Peir"/>
    <s v="M"/>
    <d v="1985-12-10T00:00:00"/>
    <n v="9"/>
    <s v="B"/>
    <n v="0"/>
    <s v=""/>
    <n v="40000"/>
    <x v="0"/>
    <s v="Technique Leader"/>
    <d v="1955-12-02T00:00:00"/>
    <d v="1985-12-10T00:00:00"/>
    <m/>
    <s v="Development"/>
    <s v=""/>
    <n v="3"/>
    <x v="0"/>
  </r>
  <r>
    <n v="256701"/>
    <s v="11/24/1952"/>
    <s v="Chikako"/>
    <s v="Veevers"/>
    <s v="F"/>
    <d v="1988-07-10T00:00:00"/>
    <n v="1"/>
    <s v="PIP"/>
    <n v="0"/>
    <s v=""/>
    <n v="40000"/>
    <x v="0"/>
    <s v="Senior Engineer"/>
    <d v="1952-11-24T00:00:00"/>
    <d v="1988-07-10T00:00:00"/>
    <m/>
    <s v="Development"/>
    <s v=""/>
    <n v="1"/>
    <x v="0"/>
  </r>
  <r>
    <n v="10130"/>
    <s v="4/27/1955"/>
    <s v="Nishit"/>
    <s v="Casperson"/>
    <s v="M"/>
    <d v="1988-06-21T00:00:00"/>
    <n v="2"/>
    <s v="B"/>
    <n v="0"/>
    <s v=""/>
    <n v="40000"/>
    <x v="1"/>
    <s v="Senior Engineer"/>
    <d v="1955-04-27T00:00:00"/>
    <d v="1988-06-21T00:00:00"/>
    <m/>
    <s v="Production"/>
    <s v=""/>
    <n v="3"/>
    <x v="0"/>
  </r>
  <r>
    <n v="10131"/>
    <s v="2/19/1952"/>
    <s v="Magdalena"/>
    <s v="Eldridge"/>
    <s v="M"/>
    <d v="1994-11-17T00:00:00"/>
    <n v="8"/>
    <s v="A"/>
    <n v="0"/>
    <s v=""/>
    <n v="48475"/>
    <x v="1"/>
    <s v="Engineer"/>
    <d v="1952-02-19T00:00:00"/>
    <d v="1994-11-17T00:00:00"/>
    <m/>
    <s v="Production"/>
    <s v=""/>
    <n v="4"/>
    <x v="0"/>
  </r>
  <r>
    <n v="205366"/>
    <s v="2/21/1964"/>
    <s v="Kazuhira"/>
    <s v="Shimshoni"/>
    <s v="F"/>
    <d v="1987-04-15T00:00:00"/>
    <n v="9"/>
    <s v="A"/>
    <n v="0"/>
    <s v=""/>
    <n v="80518"/>
    <x v="2"/>
    <s v="Senior Staff"/>
    <d v="1964-02-21T00:00:00"/>
    <d v="1987-04-15T00:00:00"/>
    <m/>
    <s v="Sales"/>
    <s v=""/>
    <n v="4"/>
    <x v="0"/>
  </r>
  <r>
    <n v="205366"/>
    <s v="2/21/1964"/>
    <s v="Kazuhira"/>
    <s v="Shimshoni"/>
    <s v="F"/>
    <d v="1987-04-15T00:00:00"/>
    <n v="9"/>
    <s v="A"/>
    <n v="0"/>
    <s v=""/>
    <n v="80518"/>
    <x v="6"/>
    <s v="Senior Staff"/>
    <d v="1964-02-21T00:00:00"/>
    <d v="1987-04-15T00:00:00"/>
    <m/>
    <s v="Customer Service"/>
    <s v=""/>
    <n v="4"/>
    <x v="0"/>
  </r>
  <r>
    <n v="10132"/>
    <s v="12/15/1956"/>
    <s v="Ayakannu"/>
    <s v="Skrikant"/>
    <s v="M"/>
    <d v="1994-10-30T00:00:00"/>
    <n v="6"/>
    <s v="A"/>
    <n v="0"/>
    <s v=""/>
    <n v="61590"/>
    <x v="7"/>
    <s v="Staff"/>
    <d v="1956-12-15T00:00:00"/>
    <d v="1994-10-30T00:00:00"/>
    <m/>
    <s v="Finance"/>
    <s v=""/>
    <n v="4"/>
    <x v="0"/>
  </r>
  <r>
    <n v="10133"/>
    <s v="12/12/1963"/>
    <s v="Giri"/>
    <s v="Isaak"/>
    <s v="M"/>
    <d v="1985-12-15T00:00:00"/>
    <n v="7"/>
    <s v="B"/>
    <n v="0"/>
    <s v=""/>
    <n v="40000"/>
    <x v="1"/>
    <s v="Senior Engineer"/>
    <d v="1963-12-12T00:00:00"/>
    <d v="1985-12-15T00:00:00"/>
    <m/>
    <s v="Production"/>
    <s v=""/>
    <n v="3"/>
    <x v="0"/>
  </r>
  <r>
    <n v="101013"/>
    <s v="2/24/1961"/>
    <s v="Leen"/>
    <s v="Pappas"/>
    <s v="M"/>
    <d v="1989-11-19T00:00:00"/>
    <n v="10"/>
    <s v="A"/>
    <n v="0"/>
    <s v=""/>
    <n v="68550"/>
    <x v="1"/>
    <s v="Senior Engineer"/>
    <d v="1961-02-24T00:00:00"/>
    <d v="1989-11-19T00:00:00"/>
    <m/>
    <s v="Production"/>
    <s v=""/>
    <n v="4"/>
    <x v="0"/>
  </r>
  <r>
    <n v="10134"/>
    <s v="4/15/1953"/>
    <s v="Diederik"/>
    <s v="Siprelle"/>
    <s v="M"/>
    <d v="1987-12-12T00:00:00"/>
    <n v="7"/>
    <s v="A"/>
    <n v="0"/>
    <s v=""/>
    <n v="40000"/>
    <x v="1"/>
    <s v="Senior Engineer"/>
    <d v="1953-04-15T00:00:00"/>
    <d v="1987-12-12T00:00:00"/>
    <m/>
    <s v="Production"/>
    <s v=""/>
    <n v="4"/>
    <x v="0"/>
  </r>
  <r>
    <n v="10134"/>
    <s v="4/15/1953"/>
    <s v="Diederik"/>
    <s v="Siprelle"/>
    <s v="M"/>
    <d v="1987-12-12T00:00:00"/>
    <n v="7"/>
    <s v="A"/>
    <n v="0"/>
    <s v=""/>
    <n v="40000"/>
    <x v="0"/>
    <s v="Senior Engineer"/>
    <d v="1953-04-15T00:00:00"/>
    <d v="1987-12-12T00:00:00"/>
    <m/>
    <s v="Development"/>
    <s v=""/>
    <n v="4"/>
    <x v="0"/>
  </r>
  <r>
    <n v="212882"/>
    <s v="12/26/1958"/>
    <s v="Changho"/>
    <s v="Pietracaprina"/>
    <s v="F"/>
    <d v="1992-02-13T00:00:00"/>
    <n v="2"/>
    <s v="A"/>
    <n v="0"/>
    <s v=""/>
    <n v="40000"/>
    <x v="6"/>
    <s v="Staff"/>
    <d v="1958-12-26T00:00:00"/>
    <d v="1992-02-13T00:00:00"/>
    <m/>
    <s v="Customer Service"/>
    <s v=""/>
    <n v="4"/>
    <x v="0"/>
  </r>
  <r>
    <n v="10135"/>
    <s v="12/23/1956"/>
    <s v="Nathan"/>
    <s v="Monkewich"/>
    <s v="M"/>
    <d v="1988-02-19T00:00:00"/>
    <n v="7"/>
    <s v="C"/>
    <n v="0"/>
    <s v=""/>
    <n v="40000"/>
    <x v="1"/>
    <s v="Engineer"/>
    <d v="1956-12-23T00:00:00"/>
    <d v="1988-02-19T00:00:00"/>
    <m/>
    <s v="Production"/>
    <s v=""/>
    <n v="2"/>
    <x v="0"/>
  </r>
  <r>
    <n v="10136"/>
    <s v="9/14/1961"/>
    <s v="Zissis"/>
    <s v="Pintelas"/>
    <s v="M"/>
    <d v="1986-02-11T00:00:00"/>
    <n v="10"/>
    <s v="C"/>
    <n v="0"/>
    <s v=""/>
    <n v="82420"/>
    <x v="2"/>
    <s v="Staff"/>
    <d v="1961-09-14T00:00:00"/>
    <d v="1986-02-11T00:00:00"/>
    <m/>
    <s v="Sales"/>
    <s v=""/>
    <n v="2"/>
    <x v="0"/>
  </r>
  <r>
    <n v="21620"/>
    <s v="11/24/1960"/>
    <s v="Shaowen"/>
    <s v="Pramanik"/>
    <s v="M"/>
    <d v="1992-12-27T00:00:00"/>
    <n v="8"/>
    <s v="PIP"/>
    <n v="0"/>
    <s v=""/>
    <n v="40000"/>
    <x v="4"/>
    <s v="Staff"/>
    <d v="1960-11-24T00:00:00"/>
    <d v="1992-12-27T00:00:00"/>
    <m/>
    <s v="Research"/>
    <s v=""/>
    <n v="1"/>
    <x v="0"/>
  </r>
  <r>
    <n v="10137"/>
    <s v="7/30/1959"/>
    <s v="Maren"/>
    <s v="Hutton"/>
    <s v="M"/>
    <d v="1985-02-18T00:00:00"/>
    <n v="3"/>
    <s v="B"/>
    <n v="0"/>
    <s v=""/>
    <n v="40000"/>
    <x v="6"/>
    <s v="Staff"/>
    <d v="1959-07-30T00:00:00"/>
    <d v="1985-02-18T00:00:00"/>
    <m/>
    <s v="Customer Service"/>
    <s v=""/>
    <n v="3"/>
    <x v="0"/>
  </r>
  <r>
    <n v="10138"/>
    <s v="4/24/1955"/>
    <s v="Perry"/>
    <s v="Shimshoni"/>
    <s v="M"/>
    <d v="1986-09-18T00:00:00"/>
    <n v="5"/>
    <s v="C"/>
    <n v="0"/>
    <s v=""/>
    <n v="53574"/>
    <x v="5"/>
    <s v="Senior Engineer"/>
    <d v="1955-04-24T00:00:00"/>
    <d v="1986-09-18T00:00:00"/>
    <m/>
    <s v="Quality Management"/>
    <s v=""/>
    <n v="2"/>
    <x v="0"/>
  </r>
  <r>
    <n v="223670"/>
    <s v="8/8/1952"/>
    <s v="Erez"/>
    <s v="Chinin"/>
    <s v="F"/>
    <d v="1990-07-01T00:00:00"/>
    <n v="1"/>
    <s v="A"/>
    <n v="1"/>
    <s v="8/28/1993"/>
    <n v="40000"/>
    <x v="0"/>
    <s v="Senior Engineer"/>
    <d v="1952-08-08T00:00:00"/>
    <d v="1990-07-01T00:00:00"/>
    <d v="1993-08-28T00:00:00"/>
    <s v="Development"/>
    <n v="3.159479808350445"/>
    <n v="4"/>
    <x v="0"/>
  </r>
  <r>
    <n v="10139"/>
    <s v="3/3/1963"/>
    <s v="Ewing"/>
    <s v="Foong"/>
    <s v="F"/>
    <d v="1998-03-15T00:00:00"/>
    <n v="7"/>
    <s v="S"/>
    <n v="0"/>
    <s v=""/>
    <n v="40000"/>
    <x v="0"/>
    <s v="Engineer"/>
    <d v="1963-03-03T00:00:00"/>
    <d v="1998-03-15T00:00:00"/>
    <m/>
    <s v="Development"/>
    <s v=""/>
    <n v="5"/>
    <x v="1"/>
  </r>
  <r>
    <n v="10140"/>
    <s v="3/11/1957"/>
    <s v="Yucel"/>
    <s v="Auria"/>
    <s v="F"/>
    <d v="1991-03-14T00:00:00"/>
    <n v="2"/>
    <s v="B"/>
    <n v="0"/>
    <s v=""/>
    <n v="61352"/>
    <x v="8"/>
    <s v="Staff"/>
    <d v="1957-03-11T00:00:00"/>
    <d v="1991-03-14T00:00:00"/>
    <m/>
    <s v="Marketing"/>
    <s v=""/>
    <n v="3"/>
    <x v="0"/>
  </r>
  <r>
    <n v="209422"/>
    <s v="7/28/1964"/>
    <s v="Reinhard"/>
    <s v="Gischer"/>
    <s v="M"/>
    <d v="1999-01-12T00:00:00"/>
    <n v="2"/>
    <s v="B"/>
    <n v="0"/>
    <s v=""/>
    <n v="72780"/>
    <x v="1"/>
    <s v="Engineer"/>
    <d v="1964-07-28T00:00:00"/>
    <d v="1999-01-12T00:00:00"/>
    <m/>
    <s v="Production"/>
    <s v=""/>
    <n v="3"/>
    <x v="1"/>
  </r>
  <r>
    <n v="10141"/>
    <s v="1/17/1960"/>
    <s v="Shahaf"/>
    <s v="Ishibashi"/>
    <s v="F"/>
    <d v="1993-05-06T00:00:00"/>
    <n v="9"/>
    <s v="PIP"/>
    <n v="1"/>
    <s v="4/13/2004"/>
    <n v="62907"/>
    <x v="4"/>
    <s v="Senior Staff"/>
    <d v="1960-01-17T00:00:00"/>
    <d v="1993-05-06T00:00:00"/>
    <d v="2004-04-13T00:00:00"/>
    <s v="Research"/>
    <n v="10.937713894592745"/>
    <n v="1"/>
    <x v="0"/>
  </r>
  <r>
    <n v="10142"/>
    <s v="8/29/1956"/>
    <s v="Tzvetan"/>
    <s v="Hettesheimer"/>
    <s v="M"/>
    <d v="1993-10-28T00:00:00"/>
    <n v="5"/>
    <s v="C"/>
    <n v="0"/>
    <s v=""/>
    <n v="40000"/>
    <x v="0"/>
    <s v="Senior Engineer"/>
    <d v="1956-08-29T00:00:00"/>
    <d v="1993-10-28T00:00:00"/>
    <m/>
    <s v="Development"/>
    <s v=""/>
    <n v="2"/>
    <x v="0"/>
  </r>
  <r>
    <n v="403328"/>
    <s v="3/28/1959"/>
    <s v="Shem"/>
    <s v="Kroha"/>
    <s v="M"/>
    <d v="1994-09-22T00:00:00"/>
    <n v="4"/>
    <s v="C"/>
    <n v="0"/>
    <s v=""/>
    <n v="40000"/>
    <x v="1"/>
    <s v="Senior Engineer"/>
    <d v="1959-03-28T00:00:00"/>
    <d v="1994-09-22T00:00:00"/>
    <m/>
    <s v="Production"/>
    <s v=""/>
    <n v="2"/>
    <x v="0"/>
  </r>
  <r>
    <n v="403328"/>
    <s v="3/28/1959"/>
    <s v="Shem"/>
    <s v="Kroha"/>
    <s v="M"/>
    <d v="1994-09-22T00:00:00"/>
    <n v="4"/>
    <s v="C"/>
    <n v="0"/>
    <s v=""/>
    <n v="40000"/>
    <x v="6"/>
    <s v="Senior Engineer"/>
    <d v="1959-03-28T00:00:00"/>
    <d v="1994-09-22T00:00:00"/>
    <m/>
    <s v="Customer Service"/>
    <s v=""/>
    <n v="2"/>
    <x v="0"/>
  </r>
  <r>
    <n v="10143"/>
    <s v="7/16/1961"/>
    <s v="Sakthirel"/>
    <s v="Bakhtari"/>
    <s v="M"/>
    <d v="1988-09-30T00:00:00"/>
    <n v="7"/>
    <s v="A"/>
    <n v="0"/>
    <s v=""/>
    <n v="40000"/>
    <x v="0"/>
    <s v="Senior Engineer"/>
    <d v="1961-07-16T00:00:00"/>
    <d v="1988-09-30T00:00:00"/>
    <m/>
    <s v="Development"/>
    <s v=""/>
    <n v="4"/>
    <x v="0"/>
  </r>
  <r>
    <n v="10144"/>
    <s v="6/17/1959"/>
    <s v="Marla"/>
    <s v="Brendel"/>
    <s v="M"/>
    <d v="1985-10-14T00:00:00"/>
    <n v="1"/>
    <s v="A"/>
    <n v="0"/>
    <s v=""/>
    <n v="56720"/>
    <x v="7"/>
    <s v="Staff"/>
    <d v="1959-06-17T00:00:00"/>
    <d v="1985-10-14T00:00:00"/>
    <m/>
    <s v="Finance"/>
    <s v=""/>
    <n v="4"/>
    <x v="0"/>
  </r>
  <r>
    <n v="10144"/>
    <s v="6/17/1959"/>
    <s v="Marla"/>
    <s v="Brendel"/>
    <s v="M"/>
    <d v="1985-10-14T00:00:00"/>
    <n v="1"/>
    <s v="A"/>
    <n v="0"/>
    <s v=""/>
    <n v="56720"/>
    <x v="3"/>
    <s v="Staff"/>
    <d v="1959-06-17T00:00:00"/>
    <d v="1985-10-14T00:00:00"/>
    <m/>
    <s v="Human Resources"/>
    <s v=""/>
    <n v="4"/>
    <x v="0"/>
  </r>
  <r>
    <n v="292694"/>
    <s v="6/20/1964"/>
    <s v="Kauko"/>
    <s v="Demizu"/>
    <s v="M"/>
    <d v="1990-12-08T00:00:00"/>
    <n v="10"/>
    <s v="C"/>
    <n v="0"/>
    <s v=""/>
    <n v="40000"/>
    <x v="1"/>
    <s v="Senior Engineer"/>
    <d v="1964-06-20T00:00:00"/>
    <d v="1990-12-08T00:00:00"/>
    <m/>
    <s v="Production"/>
    <s v=""/>
    <n v="2"/>
    <x v="0"/>
  </r>
  <r>
    <n v="10145"/>
    <s v="3/30/1956"/>
    <s v="Akemi"/>
    <s v="Esposito"/>
    <s v="F"/>
    <d v="1987-08-01T00:00:00"/>
    <n v="4"/>
    <s v="A"/>
    <n v="0"/>
    <s v=""/>
    <n v="47612"/>
    <x v="0"/>
    <s v="Engineer"/>
    <d v="1956-03-30T00:00:00"/>
    <d v="1987-08-01T00:00:00"/>
    <m/>
    <s v="Development"/>
    <s v=""/>
    <n v="4"/>
    <x v="0"/>
  </r>
  <r>
    <n v="10146"/>
    <s v="1/12/1959"/>
    <s v="Chenyi"/>
    <s v="Syang"/>
    <s v="M"/>
    <d v="1988-06-28T00:00:00"/>
    <n v="6"/>
    <s v="B"/>
    <n v="0"/>
    <s v=""/>
    <n v="60394"/>
    <x v="7"/>
    <s v="Staff"/>
    <d v="1959-01-12T00:00:00"/>
    <d v="1988-06-28T00:00:00"/>
    <m/>
    <s v="Finance"/>
    <s v=""/>
    <n v="3"/>
    <x v="0"/>
  </r>
  <r>
    <n v="10147"/>
    <s v="10/13/1964"/>
    <s v="Kazuhito"/>
    <s v="Encarnacion"/>
    <s v="M"/>
    <d v="1986-08-21T00:00:00"/>
    <n v="1"/>
    <s v="A"/>
    <n v="0"/>
    <s v=""/>
    <n v="40000"/>
    <x v="7"/>
    <s v="Staff"/>
    <d v="1964-10-13T00:00:00"/>
    <d v="1986-08-21T00:00:00"/>
    <m/>
    <s v="Finance"/>
    <s v=""/>
    <n v="4"/>
    <x v="0"/>
  </r>
  <r>
    <n v="270554"/>
    <s v="6/11/1959"/>
    <s v="Percy"/>
    <s v="Litecky"/>
    <s v="F"/>
    <d v="1993-08-16T00:00:00"/>
    <n v="7"/>
    <s v="A"/>
    <n v="0"/>
    <s v=""/>
    <n v="40000"/>
    <x v="4"/>
    <s v="Staff"/>
    <d v="1959-06-11T00:00:00"/>
    <d v="1993-08-16T00:00:00"/>
    <m/>
    <s v="Research"/>
    <s v=""/>
    <n v="4"/>
    <x v="0"/>
  </r>
  <r>
    <n v="10148"/>
    <s v="10/4/1957"/>
    <s v="Douadi"/>
    <s v="Azumi"/>
    <s v="M"/>
    <d v="1995-10-10T00:00:00"/>
    <n v="1"/>
    <s v="B"/>
    <n v="0"/>
    <s v=""/>
    <n v="63021"/>
    <x v="2"/>
    <s v="Staff"/>
    <d v="1957-10-04T00:00:00"/>
    <d v="1995-10-10T00:00:00"/>
    <m/>
    <s v="Sales"/>
    <s v=""/>
    <n v="3"/>
    <x v="0"/>
  </r>
  <r>
    <n v="10149"/>
    <s v="5/20/1953"/>
    <s v="Xiadong"/>
    <s v="Perry"/>
    <s v="F"/>
    <d v="1986-11-05T00:00:00"/>
    <n v="7"/>
    <s v="B"/>
    <n v="0"/>
    <s v=""/>
    <n v="88740"/>
    <x v="2"/>
    <s v="Staff"/>
    <d v="1953-05-20T00:00:00"/>
    <d v="1986-11-05T00:00:00"/>
    <m/>
    <s v="Sales"/>
    <s v=""/>
    <n v="3"/>
    <x v="0"/>
  </r>
  <r>
    <n v="37601"/>
    <s v="12/14/1962"/>
    <s v="Gilbert"/>
    <s v="Naumovich"/>
    <s v="M"/>
    <d v="1992-09-19T00:00:00"/>
    <n v="1"/>
    <s v="A"/>
    <n v="0"/>
    <s v=""/>
    <n v="58896"/>
    <x v="2"/>
    <s v="Staff"/>
    <d v="1962-12-14T00:00:00"/>
    <d v="1992-09-19T00:00:00"/>
    <m/>
    <s v="Sales"/>
    <s v=""/>
    <n v="4"/>
    <x v="0"/>
  </r>
  <r>
    <n v="10150"/>
    <s v="1/29/1955"/>
    <s v="Zhenbing"/>
    <s v="Perng"/>
    <s v="F"/>
    <d v="1986-11-16T00:00:00"/>
    <n v="6"/>
    <s v="A"/>
    <n v="0"/>
    <s v=""/>
    <n v="70122"/>
    <x v="0"/>
    <s v="Senior Engineer"/>
    <d v="1955-01-29T00:00:00"/>
    <d v="1986-11-16T00:00:00"/>
    <m/>
    <s v="Development"/>
    <s v=""/>
    <n v="4"/>
    <x v="0"/>
  </r>
  <r>
    <n v="10151"/>
    <s v="3/6/1959"/>
    <s v="Itzchak"/>
    <s v="Lichtner"/>
    <s v="M"/>
    <d v="1990-04-10T00:00:00"/>
    <n v="7"/>
    <s v="C"/>
    <n v="0"/>
    <s v=""/>
    <n v="90741"/>
    <x v="2"/>
    <s v="Staff"/>
    <d v="1959-03-06T00:00:00"/>
    <d v="1990-04-10T00:00:00"/>
    <m/>
    <s v="Sales"/>
    <s v=""/>
    <n v="2"/>
    <x v="0"/>
  </r>
  <r>
    <n v="437985"/>
    <s v="6/12/1954"/>
    <s v="Reuven"/>
    <s v="Munke"/>
    <s v="M"/>
    <d v="1986-04-13T00:00:00"/>
    <n v="4"/>
    <s v="B"/>
    <n v="0"/>
    <s v=""/>
    <n v="53517"/>
    <x v="2"/>
    <s v="Staff"/>
    <d v="1954-06-12T00:00:00"/>
    <d v="1986-04-13T00:00:00"/>
    <m/>
    <s v="Sales"/>
    <s v=""/>
    <n v="3"/>
    <x v="0"/>
  </r>
  <r>
    <n v="10152"/>
    <s v="12/1/1954"/>
    <s v="Jaques"/>
    <s v="Munro"/>
    <s v="F"/>
    <d v="1986-01-27T00:00:00"/>
    <n v="10"/>
    <s v="C"/>
    <n v="0"/>
    <s v=""/>
    <n v="40000"/>
    <x v="5"/>
    <s v="Engineer"/>
    <d v="1954-12-01T00:00:00"/>
    <d v="1986-01-27T00:00:00"/>
    <m/>
    <s v="Quality Management"/>
    <s v=""/>
    <n v="2"/>
    <x v="0"/>
  </r>
  <r>
    <n v="10153"/>
    <s v="12/15/1955"/>
    <s v="Heekeun"/>
    <s v="Majewski"/>
    <s v="M"/>
    <d v="1987-04-08T00:00:00"/>
    <n v="3"/>
    <s v="A"/>
    <n v="0"/>
    <s v=""/>
    <n v="54246"/>
    <x v="0"/>
    <s v="Assistant Engineer"/>
    <d v="1955-12-15T00:00:00"/>
    <d v="1987-04-08T00:00:00"/>
    <m/>
    <s v="Development"/>
    <s v=""/>
    <n v="4"/>
    <x v="0"/>
  </r>
  <r>
    <n v="14097"/>
    <s v="3/18/1963"/>
    <s v="Khalil"/>
    <s v="Gniady"/>
    <s v="M"/>
    <d v="1990-12-04T00:00:00"/>
    <n v="6"/>
    <s v="C"/>
    <n v="0"/>
    <s v=""/>
    <n v="70604"/>
    <x v="7"/>
    <s v="Staff"/>
    <d v="1963-03-18T00:00:00"/>
    <d v="1990-12-04T00:00:00"/>
    <m/>
    <s v="Finance"/>
    <s v=""/>
    <n v="2"/>
    <x v="0"/>
  </r>
  <r>
    <n v="10154"/>
    <s v="1/17/1957"/>
    <s v="Abdulah"/>
    <s v="Thibadeau"/>
    <s v="F"/>
    <d v="1990-12-12T00:00:00"/>
    <n v="5"/>
    <s v="C"/>
    <n v="0"/>
    <s v=""/>
    <n v="40000"/>
    <x v="6"/>
    <s v="Staff"/>
    <d v="1957-01-17T00:00:00"/>
    <d v="1990-12-12T00:00:00"/>
    <m/>
    <s v="Customer Service"/>
    <s v=""/>
    <n v="2"/>
    <x v="0"/>
  </r>
  <r>
    <n v="10155"/>
    <s v="12/7/1959"/>
    <s v="Adas"/>
    <s v="Nastansky"/>
    <s v="M"/>
    <d v="1990-01-05T00:00:00"/>
    <n v="7"/>
    <s v="PIP"/>
    <n v="0"/>
    <s v=""/>
    <n v="40040"/>
    <x v="1"/>
    <s v="Staff"/>
    <d v="1959-12-07T00:00:00"/>
    <d v="1990-01-05T00:00:00"/>
    <m/>
    <s v="Production"/>
    <s v=""/>
    <n v="1"/>
    <x v="0"/>
  </r>
  <r>
    <n v="10155"/>
    <s v="12/7/1959"/>
    <s v="Adas"/>
    <s v="Nastansky"/>
    <s v="M"/>
    <d v="1990-01-05T00:00:00"/>
    <n v="7"/>
    <s v="PIP"/>
    <n v="0"/>
    <s v=""/>
    <n v="40040"/>
    <x v="4"/>
    <s v="Staff"/>
    <d v="1959-12-07T00:00:00"/>
    <d v="1990-01-05T00:00:00"/>
    <m/>
    <s v="Research"/>
    <s v=""/>
    <n v="1"/>
    <x v="0"/>
  </r>
  <r>
    <n v="221689"/>
    <s v="2/3/1960"/>
    <s v="Fayez"/>
    <s v="Harllee"/>
    <s v="F"/>
    <d v="1987-01-01T00:00:00"/>
    <n v="8"/>
    <s v="B"/>
    <n v="0"/>
    <s v=""/>
    <n v="67589"/>
    <x v="0"/>
    <s v="Senior Engineer"/>
    <d v="1960-02-03T00:00:00"/>
    <d v="1987-01-01T00:00:00"/>
    <m/>
    <s v="Development"/>
    <s v=""/>
    <n v="3"/>
    <x v="0"/>
  </r>
  <r>
    <n v="10156"/>
    <s v="9/19/1964"/>
    <s v="Sumali"/>
    <s v="Fargier"/>
    <s v="M"/>
    <d v="1985-03-10T00:00:00"/>
    <n v="5"/>
    <s v="B"/>
    <n v="0"/>
    <s v=""/>
    <n v="49879"/>
    <x v="5"/>
    <s v="Senior Engineer"/>
    <d v="1964-09-19T00:00:00"/>
    <d v="1985-03-10T00:00:00"/>
    <m/>
    <s v="Quality Management"/>
    <s v=""/>
    <n v="3"/>
    <x v="0"/>
  </r>
  <r>
    <n v="62117"/>
    <s v="6/25/1964"/>
    <s v="Bojan"/>
    <s v="Crouzet"/>
    <s v="F"/>
    <d v="1994-06-10T00:00:00"/>
    <n v="7"/>
    <s v="B"/>
    <n v="0"/>
    <s v=""/>
    <n v="40000"/>
    <x v="0"/>
    <s v="Senior Engineer"/>
    <d v="1964-06-25T00:00:00"/>
    <d v="1994-06-10T00:00:00"/>
    <m/>
    <s v="Development"/>
    <s v=""/>
    <n v="3"/>
    <x v="0"/>
  </r>
  <r>
    <n v="10157"/>
    <s v="4/23/1954"/>
    <s v="Nigel"/>
    <s v="Aloisi"/>
    <s v="M"/>
    <d v="1985-11-02T00:00:00"/>
    <n v="8"/>
    <s v="C"/>
    <n v="0"/>
    <s v=""/>
    <n v="48770"/>
    <x v="0"/>
    <s v="Senior Engineer"/>
    <d v="1954-04-23T00:00:00"/>
    <d v="1985-11-02T00:00:00"/>
    <m/>
    <s v="Development"/>
    <s v=""/>
    <n v="2"/>
    <x v="0"/>
  </r>
  <r>
    <n v="10158"/>
    <s v="4/1/1958"/>
    <s v="Khedija"/>
    <s v="Mitsuhashi"/>
    <s v="M"/>
    <d v="1986-01-29T00:00:00"/>
    <n v="10"/>
    <s v="A"/>
    <n v="1"/>
    <s v="4/25/1988"/>
    <n v="40725"/>
    <x v="1"/>
    <s v="Senior Engineer"/>
    <d v="1958-04-01T00:00:00"/>
    <d v="1986-01-29T00:00:00"/>
    <d v="1988-04-25T00:00:00"/>
    <s v="Production"/>
    <n v="2.236824093086927"/>
    <n v="4"/>
    <x v="0"/>
  </r>
  <r>
    <n v="213813"/>
    <s v="7/11/1955"/>
    <s v="Tsuneo"/>
    <s v="Matzat"/>
    <s v="M"/>
    <d v="1989-01-07T00:00:00"/>
    <n v="10"/>
    <s v="B"/>
    <n v="0"/>
    <s v=""/>
    <n v="51196"/>
    <x v="7"/>
    <s v="Staff"/>
    <d v="1955-07-11T00:00:00"/>
    <d v="1989-01-07T00:00:00"/>
    <m/>
    <s v="Finance"/>
    <s v=""/>
    <n v="3"/>
    <x v="0"/>
  </r>
  <r>
    <n v="10159"/>
    <s v="3/3/1955"/>
    <s v="Serif"/>
    <s v="Buescher"/>
    <s v="M"/>
    <d v="1991-05-29T00:00:00"/>
    <n v="5"/>
    <s v="B"/>
    <n v="0"/>
    <s v=""/>
    <n v="52881"/>
    <x v="5"/>
    <s v="Senior Engineer"/>
    <d v="1955-03-03T00:00:00"/>
    <d v="1991-05-29T00:00:00"/>
    <m/>
    <s v="Quality Management"/>
    <s v=""/>
    <n v="3"/>
    <x v="0"/>
  </r>
  <r>
    <n v="10160"/>
    <s v="10/18/1953"/>
    <s v="Debatosh"/>
    <s v="Khasidashvili"/>
    <s v="M"/>
    <d v="1989-01-30T00:00:00"/>
    <n v="5"/>
    <s v="C"/>
    <n v="0"/>
    <s v=""/>
    <n v="91622"/>
    <x v="2"/>
    <s v="Staff"/>
    <d v="1953-10-18T00:00:00"/>
    <d v="1989-01-30T00:00:00"/>
    <m/>
    <s v="Sales"/>
    <s v=""/>
    <n v="2"/>
    <x v="0"/>
  </r>
  <r>
    <n v="28823"/>
    <s v="9/29/1958"/>
    <s v="Tonny"/>
    <s v="Skafidas"/>
    <s v="M"/>
    <d v="1988-06-20T00:00:00"/>
    <n v="2"/>
    <s v="B"/>
    <n v="0"/>
    <s v=""/>
    <n v="62549"/>
    <x v="2"/>
    <s v="Staff"/>
    <d v="1958-09-29T00:00:00"/>
    <d v="1988-06-20T00:00:00"/>
    <m/>
    <s v="Sales"/>
    <s v=""/>
    <n v="3"/>
    <x v="0"/>
  </r>
  <r>
    <n v="10161"/>
    <s v="4/6/1953"/>
    <s v="Hairong"/>
    <s v="Mellouli"/>
    <s v="F"/>
    <d v="1988-04-03T00:00:00"/>
    <n v="4"/>
    <s v="A"/>
    <n v="0"/>
    <s v=""/>
    <n v="43149"/>
    <x v="1"/>
    <s v="Engineer"/>
    <d v="1953-04-06T00:00:00"/>
    <d v="1988-04-03T00:00:00"/>
    <m/>
    <s v="Production"/>
    <s v=""/>
    <n v="4"/>
    <x v="0"/>
  </r>
  <r>
    <n v="10162"/>
    <s v="10/5/1957"/>
    <s v="Florina"/>
    <s v="Eugenio"/>
    <s v="M"/>
    <d v="1991-05-01T00:00:00"/>
    <n v="1"/>
    <s v="C"/>
    <n v="0"/>
    <s v=""/>
    <n v="40000"/>
    <x v="1"/>
    <s v="Engineer"/>
    <d v="1957-10-05T00:00:00"/>
    <d v="1991-05-01T00:00:00"/>
    <m/>
    <s v="Production"/>
    <s v=""/>
    <n v="2"/>
    <x v="0"/>
  </r>
  <r>
    <n v="284330"/>
    <s v="4/5/1954"/>
    <s v="Bangqing"/>
    <s v="Pehl"/>
    <s v="F"/>
    <d v="1996-09-30T00:00:00"/>
    <n v="5"/>
    <s v="A"/>
    <n v="0"/>
    <s v=""/>
    <n v="43654"/>
    <x v="1"/>
    <s v="Engineer"/>
    <d v="1954-04-05T00:00:00"/>
    <d v="1996-09-30T00:00:00"/>
    <m/>
    <s v="Production"/>
    <s v=""/>
    <n v="4"/>
    <x v="0"/>
  </r>
  <r>
    <n v="10163"/>
    <s v="9/17/1952"/>
    <s v="Karsten"/>
    <s v="Szmurlo"/>
    <s v="M"/>
    <d v="1989-07-19T00:00:00"/>
    <n v="3"/>
    <s v="C"/>
    <n v="0"/>
    <s v=""/>
    <n v="41603"/>
    <x v="3"/>
    <s v="Senior Staff"/>
    <d v="1952-09-17T00:00:00"/>
    <d v="1989-07-19T00:00:00"/>
    <m/>
    <s v="Human Resources"/>
    <s v=""/>
    <n v="2"/>
    <x v="0"/>
  </r>
  <r>
    <n v="10164"/>
    <s v="1/19/1956"/>
    <s v="Jagoda"/>
    <s v="Braunmuhl"/>
    <s v="M"/>
    <d v="1985-11-12T00:00:00"/>
    <n v="9"/>
    <s v="A"/>
    <n v="0"/>
    <s v=""/>
    <n v="52043"/>
    <x v="1"/>
    <s v="Senior Engineer"/>
    <d v="1956-01-19T00:00:00"/>
    <d v="1985-11-12T00:00:00"/>
    <m/>
    <s v="Production"/>
    <s v=""/>
    <n v="4"/>
    <x v="0"/>
  </r>
  <r>
    <n v="10164"/>
    <s v="1/19/1956"/>
    <s v="Jagoda"/>
    <s v="Braunmuhl"/>
    <s v="M"/>
    <d v="1985-11-12T00:00:00"/>
    <n v="9"/>
    <s v="A"/>
    <n v="0"/>
    <s v=""/>
    <n v="52043"/>
    <x v="6"/>
    <s v="Senior Engineer"/>
    <d v="1956-01-19T00:00:00"/>
    <d v="1985-11-12T00:00:00"/>
    <m/>
    <s v="Customer Service"/>
    <s v=""/>
    <n v="4"/>
    <x v="0"/>
  </r>
  <r>
    <n v="107258"/>
    <s v="12/21/1953"/>
    <s v="Parviz"/>
    <s v="Zaumen"/>
    <s v="F"/>
    <d v="1987-04-04T00:00:00"/>
    <n v="4"/>
    <s v="A"/>
    <n v="0"/>
    <s v=""/>
    <n v="87036"/>
    <x v="2"/>
    <s v="Staff"/>
    <d v="1953-12-21T00:00:00"/>
    <d v="1987-04-04T00:00:00"/>
    <m/>
    <s v="Sales"/>
    <s v=""/>
    <n v="4"/>
    <x v="0"/>
  </r>
  <r>
    <n v="10165"/>
    <s v="6/16/1960"/>
    <s v="Miyeon"/>
    <s v="Macedo"/>
    <s v="M"/>
    <d v="1988-05-17T00:00:00"/>
    <n v="5"/>
    <s v="C"/>
    <n v="0"/>
    <s v=""/>
    <n v="43991"/>
    <x v="7"/>
    <s v="Senior Staff"/>
    <d v="1960-06-16T00:00:00"/>
    <d v="1988-05-17T00:00:00"/>
    <m/>
    <s v="Finance"/>
    <s v=""/>
    <n v="2"/>
    <x v="0"/>
  </r>
  <r>
    <n v="209527"/>
    <s v="9/26/1962"/>
    <s v="Sashi"/>
    <s v="Danlos"/>
    <s v="M"/>
    <d v="1998-01-30T00:00:00"/>
    <n v="1"/>
    <s v="A"/>
    <n v="0"/>
    <s v=""/>
    <n v="40000"/>
    <x v="6"/>
    <s v="Staff"/>
    <d v="1962-09-26T00:00:00"/>
    <d v="1998-01-30T00:00:00"/>
    <m/>
    <s v="Customer Service"/>
    <s v=""/>
    <n v="4"/>
    <x v="1"/>
  </r>
  <r>
    <n v="10166"/>
    <s v="5/10/1953"/>
    <s v="Samphel"/>
    <s v="Siegrist"/>
    <s v="F"/>
    <d v="1993-01-01T00:00:00"/>
    <n v="9"/>
    <s v="B"/>
    <n v="0"/>
    <s v=""/>
    <n v="51586"/>
    <x v="0"/>
    <s v="Engineer"/>
    <d v="1953-05-10T00:00:00"/>
    <d v="1993-01-01T00:00:00"/>
    <m/>
    <s v="Development"/>
    <s v=""/>
    <n v="3"/>
    <x v="0"/>
  </r>
  <r>
    <n v="10167"/>
    <s v="5/23/1958"/>
    <s v="Duangkaew"/>
    <s v="Rassart"/>
    <s v="M"/>
    <d v="1992-04-04T00:00:00"/>
    <n v="5"/>
    <s v="PIP"/>
    <n v="0"/>
    <s v=""/>
    <n v="56990"/>
    <x v="1"/>
    <s v="Senior Engineer"/>
    <d v="1958-05-23T00:00:00"/>
    <d v="1992-04-04T00:00:00"/>
    <m/>
    <s v="Production"/>
    <s v=""/>
    <n v="1"/>
    <x v="0"/>
  </r>
  <r>
    <n v="207774"/>
    <s v="8/17/1953"/>
    <s v="KayLiang"/>
    <s v="Trachtenberg"/>
    <s v="M"/>
    <d v="1988-05-02T00:00:00"/>
    <n v="2"/>
    <s v="B"/>
    <n v="0"/>
    <s v=""/>
    <n v="53722"/>
    <x v="3"/>
    <s v="Staff"/>
    <d v="1953-08-17T00:00:00"/>
    <d v="1988-05-02T00:00:00"/>
    <m/>
    <s v="Human Resources"/>
    <s v=""/>
    <n v="3"/>
    <x v="0"/>
  </r>
  <r>
    <n v="10168"/>
    <s v="9/11/1964"/>
    <s v="Dharmaraja"/>
    <s v="Stassinopoulos"/>
    <s v="M"/>
    <d v="1986-12-06T00:00:00"/>
    <n v="1"/>
    <s v="C"/>
    <n v="0"/>
    <s v=""/>
    <n v="51818"/>
    <x v="4"/>
    <s v="Staff"/>
    <d v="1964-09-11T00:00:00"/>
    <d v="1986-12-06T00:00:00"/>
    <m/>
    <s v="Research"/>
    <s v=""/>
    <n v="2"/>
    <x v="0"/>
  </r>
  <r>
    <n v="10169"/>
    <s v="5/3/1961"/>
    <s v="Sampalli"/>
    <s v="Snedden"/>
    <s v="F"/>
    <d v="1992-07-24T00:00:00"/>
    <n v="6"/>
    <s v="C"/>
    <n v="0"/>
    <s v=""/>
    <n v="70303"/>
    <x v="0"/>
    <s v="Engineer"/>
    <d v="1961-05-03T00:00:00"/>
    <d v="1992-07-24T00:00:00"/>
    <m/>
    <s v="Development"/>
    <s v=""/>
    <n v="2"/>
    <x v="0"/>
  </r>
  <r>
    <n v="11980"/>
    <s v="7/3/1955"/>
    <s v="Yechezkel"/>
    <s v="Pews"/>
    <s v="M"/>
    <d v="1992-01-20T00:00:00"/>
    <n v="10"/>
    <s v="B"/>
    <n v="0"/>
    <s v=""/>
    <n v="58241"/>
    <x v="2"/>
    <s v="Staff"/>
    <d v="1955-07-03T00:00:00"/>
    <d v="1992-01-20T00:00:00"/>
    <m/>
    <s v="Sales"/>
    <s v=""/>
    <n v="3"/>
    <x v="0"/>
  </r>
  <r>
    <n v="10170"/>
    <s v="10/3/1960"/>
    <s v="Kasturi"/>
    <s v="Jenevein"/>
    <s v="F"/>
    <d v="1986-01-02T00:00:00"/>
    <n v="6"/>
    <s v="C"/>
    <n v="0"/>
    <s v=""/>
    <n v="47183"/>
    <x v="1"/>
    <s v="Engineer"/>
    <d v="1960-10-03T00:00:00"/>
    <d v="1986-01-02T00:00:00"/>
    <m/>
    <s v="Production"/>
    <s v=""/>
    <n v="2"/>
    <x v="0"/>
  </r>
  <r>
    <n v="10171"/>
    <s v="9/11/1957"/>
    <s v="Herbert"/>
    <s v="Trachtenberg"/>
    <s v="M"/>
    <d v="1989-07-22T00:00:00"/>
    <n v="2"/>
    <s v="B"/>
    <n v="0"/>
    <s v=""/>
    <n v="41311"/>
    <x v="1"/>
    <s v="Technique Leader"/>
    <d v="1957-09-11T00:00:00"/>
    <d v="1989-07-22T00:00:00"/>
    <m/>
    <s v="Production"/>
    <s v=""/>
    <n v="3"/>
    <x v="0"/>
  </r>
  <r>
    <n v="270258"/>
    <s v="4/5/1953"/>
    <s v="Feipei"/>
    <s v="Hasenauer"/>
    <s v="M"/>
    <d v="1995-03-05T00:00:00"/>
    <n v="4"/>
    <s v="B"/>
    <n v="0"/>
    <s v=""/>
    <n v="40000"/>
    <x v="1"/>
    <s v="Senior Engineer"/>
    <d v="1953-04-05T00:00:00"/>
    <d v="1995-03-05T00:00:00"/>
    <m/>
    <s v="Production"/>
    <s v=""/>
    <n v="3"/>
    <x v="0"/>
  </r>
  <r>
    <n v="10172"/>
    <s v="3/25/1957"/>
    <s v="Shigeu"/>
    <s v="Matzen"/>
    <s v="F"/>
    <d v="1995-10-13T00:00:00"/>
    <n v="9"/>
    <s v="C"/>
    <n v="0"/>
    <s v=""/>
    <n v="41197"/>
    <x v="0"/>
    <s v="Engineer"/>
    <d v="1957-03-25T00:00:00"/>
    <d v="1995-10-13T00:00:00"/>
    <m/>
    <s v="Development"/>
    <s v=""/>
    <n v="2"/>
    <x v="0"/>
  </r>
  <r>
    <n v="10172"/>
    <s v="3/25/1957"/>
    <s v="Shigeu"/>
    <s v="Matzen"/>
    <s v="F"/>
    <d v="1995-10-13T00:00:00"/>
    <n v="9"/>
    <s v="C"/>
    <n v="0"/>
    <s v=""/>
    <n v="41197"/>
    <x v="4"/>
    <s v="Engineer"/>
    <d v="1957-03-25T00:00:00"/>
    <d v="1995-10-13T00:00:00"/>
    <m/>
    <s v="Research"/>
    <s v=""/>
    <n v="2"/>
    <x v="0"/>
  </r>
  <r>
    <n v="10173"/>
    <s v="10/28/1962"/>
    <s v="Shrikanth"/>
    <s v="Mahmud"/>
    <s v="M"/>
    <d v="1992-03-21T00:00:00"/>
    <n v="8"/>
    <s v="PIP"/>
    <n v="0"/>
    <s v=""/>
    <n v="85757"/>
    <x v="7"/>
    <s v="Staff"/>
    <d v="1962-10-28T00:00:00"/>
    <d v="1992-03-21T00:00:00"/>
    <m/>
    <s v="Finance"/>
    <s v=""/>
    <n v="1"/>
    <x v="0"/>
  </r>
  <r>
    <n v="10174"/>
    <s v="5/15/1959"/>
    <s v="Badri"/>
    <s v="Furudate"/>
    <s v="M"/>
    <d v="1987-06-01T00:00:00"/>
    <n v="6"/>
    <s v="B"/>
    <n v="0"/>
    <s v=""/>
    <n v="59520"/>
    <x v="1"/>
    <s v="Senior Engineer"/>
    <d v="1959-05-15T00:00:00"/>
    <d v="1987-06-01T00:00:00"/>
    <m/>
    <s v="Production"/>
    <s v=""/>
    <n v="3"/>
    <x v="0"/>
  </r>
  <r>
    <n v="457800"/>
    <s v="9/20/1963"/>
    <s v="Stabislas"/>
    <s v="Domenig"/>
    <s v="M"/>
    <d v="1986-08-04T00:00:00"/>
    <n v="8"/>
    <s v="B"/>
    <n v="0"/>
    <s v=""/>
    <n v="64014"/>
    <x v="7"/>
    <s v="Staff"/>
    <d v="1963-09-20T00:00:00"/>
    <d v="1986-08-04T00:00:00"/>
    <m/>
    <s v="Finance"/>
    <s v=""/>
    <n v="3"/>
    <x v="0"/>
  </r>
  <r>
    <n v="457800"/>
    <s v="9/20/1963"/>
    <s v="Stabislas"/>
    <s v="Domenig"/>
    <s v="M"/>
    <d v="1986-08-04T00:00:00"/>
    <n v="8"/>
    <s v="B"/>
    <n v="0"/>
    <s v=""/>
    <n v="64014"/>
    <x v="2"/>
    <s v="Staff"/>
    <d v="1963-09-20T00:00:00"/>
    <d v="1986-08-04T00:00:00"/>
    <m/>
    <s v="Sales"/>
    <s v=""/>
    <n v="3"/>
    <x v="0"/>
  </r>
  <r>
    <n v="10175"/>
    <s v="1/11/1960"/>
    <s v="Aleksandar"/>
    <s v="Ananiadou"/>
    <s v="F"/>
    <d v="1988-01-11T00:00:00"/>
    <n v="7"/>
    <s v="A"/>
    <n v="0"/>
    <s v=""/>
    <n v="72285"/>
    <x v="8"/>
    <s v="Staff"/>
    <d v="1960-01-11T00:00:00"/>
    <d v="1988-01-11T00:00:00"/>
    <m/>
    <s v="Marketing"/>
    <s v=""/>
    <n v="4"/>
    <x v="0"/>
  </r>
  <r>
    <n v="10176"/>
    <s v="1/24/1957"/>
    <s v="Brendon"/>
    <s v="Lenart"/>
    <s v="F"/>
    <d v="1994-12-22T00:00:00"/>
    <n v="4"/>
    <s v="B"/>
    <n v="0"/>
    <s v=""/>
    <n v="54635"/>
    <x v="6"/>
    <s v="Staff"/>
    <d v="1957-01-24T00:00:00"/>
    <d v="1994-12-22T00:00:00"/>
    <m/>
    <s v="Customer Service"/>
    <s v=""/>
    <n v="3"/>
    <x v="0"/>
  </r>
  <r>
    <n v="446142"/>
    <s v="8/22/1961"/>
    <s v="Gregory"/>
    <s v="Zedlitz"/>
    <s v="F"/>
    <d v="1993-07-10T00:00:00"/>
    <n v="6"/>
    <s v="A"/>
    <n v="0"/>
    <s v=""/>
    <n v="40000"/>
    <x v="5"/>
    <s v="Senior Engineer"/>
    <d v="1961-08-22T00:00:00"/>
    <d v="1993-07-10T00:00:00"/>
    <m/>
    <s v="Quality Management"/>
    <s v=""/>
    <n v="4"/>
    <x v="0"/>
  </r>
  <r>
    <n v="10177"/>
    <s v="11/8/1954"/>
    <s v="Pragnesh"/>
    <s v="Iisaka"/>
    <s v="M"/>
    <d v="1993-02-06T00:00:00"/>
    <n v="10"/>
    <s v="PIP"/>
    <n v="0"/>
    <s v=""/>
    <n v="48041"/>
    <x v="7"/>
    <s v="Staff"/>
    <d v="1954-11-08T00:00:00"/>
    <d v="1993-02-06T00:00:00"/>
    <m/>
    <s v="Finance"/>
    <s v=""/>
    <n v="1"/>
    <x v="0"/>
  </r>
  <r>
    <n v="10178"/>
    <s v="3/13/1963"/>
    <s v="Valery"/>
    <s v="Litvinov"/>
    <s v="M"/>
    <d v="1986-10-07T00:00:00"/>
    <n v="9"/>
    <s v="C"/>
    <n v="0"/>
    <s v=""/>
    <n v="50568"/>
    <x v="2"/>
    <s v="Staff"/>
    <d v="1963-03-13T00:00:00"/>
    <d v="1986-10-07T00:00:00"/>
    <m/>
    <s v="Sales"/>
    <s v=""/>
    <n v="2"/>
    <x v="0"/>
  </r>
  <r>
    <n v="201769"/>
    <s v="11/6/1961"/>
    <s v="Jayesh"/>
    <s v="Merel"/>
    <s v="M"/>
    <d v="1992-09-26T00:00:00"/>
    <n v="10"/>
    <s v="A"/>
    <n v="0"/>
    <s v=""/>
    <n v="48427"/>
    <x v="1"/>
    <s v="Technique Leader"/>
    <d v="1961-11-06T00:00:00"/>
    <d v="1992-09-26T00:00:00"/>
    <m/>
    <s v="Production"/>
    <s v=""/>
    <n v="4"/>
    <x v="0"/>
  </r>
  <r>
    <n v="10179"/>
    <s v="11/25/1961"/>
    <s v="Deniz"/>
    <s v="Duclos"/>
    <s v="F"/>
    <d v="1990-10-04T00:00:00"/>
    <n v="5"/>
    <s v="B"/>
    <n v="0"/>
    <s v=""/>
    <n v="40000"/>
    <x v="0"/>
    <s v="Engineer"/>
    <d v="1961-11-25T00:00:00"/>
    <d v="1990-10-04T00:00:00"/>
    <m/>
    <s v="Development"/>
    <s v=""/>
    <n v="3"/>
    <x v="0"/>
  </r>
  <r>
    <n v="10180"/>
    <s v="1/29/1956"/>
    <s v="Shaw"/>
    <s v="Wendorf"/>
    <s v="M"/>
    <d v="1986-02-25T00:00:00"/>
    <n v="10"/>
    <s v="A"/>
    <n v="0"/>
    <s v=""/>
    <n v="52444"/>
    <x v="7"/>
    <s v="Staff"/>
    <d v="1956-01-29T00:00:00"/>
    <d v="1986-02-25T00:00:00"/>
    <m/>
    <s v="Finance"/>
    <s v=""/>
    <n v="4"/>
    <x v="0"/>
  </r>
  <r>
    <n v="56049"/>
    <s v="7/15/1952"/>
    <s v="Felicidad"/>
    <s v="Waymire"/>
    <s v="F"/>
    <d v="1988-01-15T00:00:00"/>
    <n v="5"/>
    <s v="B"/>
    <n v="0"/>
    <s v=""/>
    <n v="76782"/>
    <x v="8"/>
    <s v="Staff"/>
    <d v="1952-07-15T00:00:00"/>
    <d v="1988-01-15T00:00:00"/>
    <m/>
    <s v="Marketing"/>
    <s v=""/>
    <n v="3"/>
    <x v="0"/>
  </r>
  <r>
    <n v="56049"/>
    <s v="7/15/1952"/>
    <s v="Felicidad"/>
    <s v="Waymire"/>
    <s v="F"/>
    <d v="1988-01-15T00:00:00"/>
    <n v="5"/>
    <s v="B"/>
    <n v="0"/>
    <s v=""/>
    <n v="76782"/>
    <x v="6"/>
    <s v="Staff"/>
    <d v="1952-07-15T00:00:00"/>
    <d v="1988-01-15T00:00:00"/>
    <m/>
    <s v="Customer Service"/>
    <s v=""/>
    <n v="3"/>
    <x v="0"/>
  </r>
  <r>
    <n v="10181"/>
    <s v="1/22/1963"/>
    <s v="Sibyl"/>
    <s v="Nooteboom"/>
    <s v="M"/>
    <d v="1988-06-22T00:00:00"/>
    <n v="7"/>
    <s v="B"/>
    <n v="0"/>
    <s v=""/>
    <n v="40000"/>
    <x v="0"/>
    <s v="Senior Engineer"/>
    <d v="1963-01-22T00:00:00"/>
    <d v="1988-06-22T00:00:00"/>
    <m/>
    <s v="Development"/>
    <s v=""/>
    <n v="3"/>
    <x v="0"/>
  </r>
  <r>
    <n v="10182"/>
    <s v="2/4/1961"/>
    <s v="Moriyoshi"/>
    <s v="Merey"/>
    <s v="F"/>
    <d v="1990-09-02T00:00:00"/>
    <n v="5"/>
    <s v="PIP"/>
    <n v="0"/>
    <s v=""/>
    <n v="40380"/>
    <x v="0"/>
    <s v="Senior Engineer"/>
    <d v="1961-02-04T00:00:00"/>
    <d v="1990-09-02T00:00:00"/>
    <m/>
    <s v="Development"/>
    <s v=""/>
    <n v="1"/>
    <x v="0"/>
  </r>
  <r>
    <n v="10182"/>
    <s v="2/4/1961"/>
    <s v="Moriyoshi"/>
    <s v="Merey"/>
    <s v="F"/>
    <d v="1990-09-02T00:00:00"/>
    <n v="5"/>
    <s v="PIP"/>
    <n v="0"/>
    <s v=""/>
    <n v="40380"/>
    <x v="4"/>
    <s v="Senior Engineer"/>
    <d v="1961-02-04T00:00:00"/>
    <d v="1990-09-02T00:00:00"/>
    <m/>
    <s v="Research"/>
    <s v=""/>
    <n v="1"/>
    <x v="0"/>
  </r>
  <r>
    <n v="414537"/>
    <s v="8/13/1960"/>
    <s v="Chikara"/>
    <s v="Businaro"/>
    <s v="M"/>
    <d v="1987-01-04T00:00:00"/>
    <n v="10"/>
    <s v="B"/>
    <n v="0"/>
    <s v=""/>
    <n v="78474"/>
    <x v="2"/>
    <s v="Staff"/>
    <d v="1960-08-13T00:00:00"/>
    <d v="1987-01-04T00:00:00"/>
    <m/>
    <s v="Sales"/>
    <s v=""/>
    <n v="3"/>
    <x v="0"/>
  </r>
  <r>
    <n v="10183"/>
    <s v="10/17/1954"/>
    <s v="Mechthild"/>
    <s v="Bonifati"/>
    <s v="M"/>
    <d v="1996-08-11T00:00:00"/>
    <n v="1"/>
    <s v="C"/>
    <n v="0"/>
    <s v=""/>
    <n v="40000"/>
    <x v="6"/>
    <s v="Staff"/>
    <d v="1954-10-17T00:00:00"/>
    <d v="1996-08-11T00:00:00"/>
    <m/>
    <s v="Customer Service"/>
    <s v=""/>
    <n v="2"/>
    <x v="0"/>
  </r>
  <r>
    <n v="414885"/>
    <s v="8/3/1962"/>
    <s v="Candido"/>
    <s v="Vecchi"/>
    <s v="M"/>
    <d v="1995-08-27T00:00:00"/>
    <n v="7"/>
    <s v="A"/>
    <n v="0"/>
    <s v=""/>
    <n v="81272"/>
    <x v="2"/>
    <s v="Staff"/>
    <d v="1962-08-03T00:00:00"/>
    <d v="1995-08-27T00:00:00"/>
    <m/>
    <s v="Sales"/>
    <s v=""/>
    <n v="4"/>
    <x v="0"/>
  </r>
  <r>
    <n v="10184"/>
    <s v="5/22/1957"/>
    <s v="Mihalis"/>
    <s v="Lowrie"/>
    <s v="M"/>
    <d v="1987-10-29T00:00:00"/>
    <n v="10"/>
    <s v="B"/>
    <n v="0"/>
    <s v=""/>
    <n v="48586"/>
    <x v="6"/>
    <s v="Staff"/>
    <d v="1957-05-22T00:00:00"/>
    <d v="1987-10-29T00:00:00"/>
    <m/>
    <s v="Customer Service"/>
    <s v=""/>
    <n v="3"/>
    <x v="0"/>
  </r>
  <r>
    <n v="10185"/>
    <s v="12/5/1959"/>
    <s v="Duro"/>
    <s v="Sidhu"/>
    <s v="F"/>
    <d v="1986-03-01T00:00:00"/>
    <n v="10"/>
    <s v="C"/>
    <n v="0"/>
    <s v=""/>
    <n v="68334"/>
    <x v="2"/>
    <s v="Staff"/>
    <d v="1959-12-05T00:00:00"/>
    <d v="1986-03-01T00:00:00"/>
    <m/>
    <s v="Sales"/>
    <s v=""/>
    <n v="2"/>
    <x v="0"/>
  </r>
  <r>
    <n v="10186"/>
    <s v="7/16/1953"/>
    <s v="Shigehito"/>
    <s v="Kropatsch"/>
    <s v="M"/>
    <d v="1986-03-28T00:00:00"/>
    <n v="9"/>
    <s v="A"/>
    <n v="0"/>
    <s v=""/>
    <n v="40000"/>
    <x v="7"/>
    <s v="Staff"/>
    <d v="1953-07-16T00:00:00"/>
    <d v="1986-03-28T00:00:00"/>
    <m/>
    <s v="Finance"/>
    <s v=""/>
    <n v="4"/>
    <x v="0"/>
  </r>
  <r>
    <n v="10187"/>
    <s v="5/26/1961"/>
    <s v="Tommaso"/>
    <s v="Narwekar"/>
    <s v="F"/>
    <d v="1991-06-01T00:00:00"/>
    <n v="3"/>
    <s v="PIP"/>
    <n v="1"/>
    <s v="3/31/1997"/>
    <n v="71454"/>
    <x v="7"/>
    <s v="Staff"/>
    <d v="1961-05-26T00:00:00"/>
    <d v="1991-06-01T00:00:00"/>
    <d v="1997-03-31T00:00:00"/>
    <s v="Finance"/>
    <n v="5.8316221765913756"/>
    <n v="1"/>
    <x v="0"/>
  </r>
  <r>
    <n v="250218"/>
    <s v="1/30/1953"/>
    <s v="Uriel"/>
    <s v="Zongker"/>
    <s v="M"/>
    <d v="1988-01-25T00:00:00"/>
    <n v="8"/>
    <s v="B"/>
    <n v="0"/>
    <s v=""/>
    <n v="41127"/>
    <x v="0"/>
    <s v="Senior Engineer"/>
    <d v="1953-01-30T00:00:00"/>
    <d v="1988-01-25T00:00:00"/>
    <m/>
    <s v="Development"/>
    <s v=""/>
    <n v="3"/>
    <x v="0"/>
  </r>
  <r>
    <n v="250218"/>
    <s v="1/30/1953"/>
    <s v="Uriel"/>
    <s v="Zongker"/>
    <s v="M"/>
    <d v="1988-01-25T00:00:00"/>
    <n v="8"/>
    <s v="B"/>
    <n v="0"/>
    <s v=""/>
    <n v="41127"/>
    <x v="4"/>
    <s v="Senior Engineer"/>
    <d v="1953-01-30T00:00:00"/>
    <d v="1988-01-25T00:00:00"/>
    <m/>
    <s v="Research"/>
    <s v=""/>
    <n v="3"/>
    <x v="0"/>
  </r>
  <r>
    <n v="10188"/>
    <s v="7/13/1956"/>
    <s v="Christ"/>
    <s v="Muchinsky"/>
    <s v="F"/>
    <d v="1987-08-27T00:00:00"/>
    <n v="5"/>
    <s v="B"/>
    <n v="0"/>
    <s v=""/>
    <n v="62365"/>
    <x v="1"/>
    <s v="Senior Engineer"/>
    <d v="1956-07-13T00:00:00"/>
    <d v="1987-08-27T00:00:00"/>
    <m/>
    <s v="Production"/>
    <s v=""/>
    <n v="3"/>
    <x v="0"/>
  </r>
  <r>
    <n v="10189"/>
    <s v="11/12/1955"/>
    <s v="Khalid"/>
    <s v="Erva"/>
    <s v="M"/>
    <d v="1989-10-05T00:00:00"/>
    <n v="6"/>
    <s v="C"/>
    <n v="0"/>
    <s v=""/>
    <n v="41222"/>
    <x v="0"/>
    <s v="Engineer"/>
    <d v="1955-11-12T00:00:00"/>
    <d v="1989-10-05T00:00:00"/>
    <m/>
    <s v="Development"/>
    <s v=""/>
    <n v="2"/>
    <x v="0"/>
  </r>
  <r>
    <n v="451340"/>
    <s v="12/8/1961"/>
    <s v="Satosi"/>
    <s v="Zyda"/>
    <s v="M"/>
    <d v="1987-10-09T00:00:00"/>
    <n v="1"/>
    <s v="B"/>
    <n v="0"/>
    <s v=""/>
    <n v="40000"/>
    <x v="3"/>
    <s v="Staff"/>
    <d v="1961-12-08T00:00:00"/>
    <d v="1987-10-09T00:00:00"/>
    <m/>
    <s v="Human Resources"/>
    <s v=""/>
    <n v="3"/>
    <x v="0"/>
  </r>
  <r>
    <n v="10190"/>
    <s v="12/11/1964"/>
    <s v="Arve"/>
    <s v="Fairtlough"/>
    <s v="F"/>
    <d v="1986-06-23T00:00:00"/>
    <n v="5"/>
    <s v="B"/>
    <n v="0"/>
    <s v=""/>
    <n v="40000"/>
    <x v="1"/>
    <s v="Senior Engineer"/>
    <d v="1964-12-11T00:00:00"/>
    <d v="1986-06-23T00:00:00"/>
    <m/>
    <s v="Production"/>
    <s v=""/>
    <n v="3"/>
    <x v="0"/>
  </r>
  <r>
    <n v="10191"/>
    <s v="4/8/1959"/>
    <s v="Zdislav"/>
    <s v="Nastansky"/>
    <s v="M"/>
    <d v="1986-04-10T00:00:00"/>
    <n v="4"/>
    <s v="B"/>
    <n v="0"/>
    <s v=""/>
    <n v="40000"/>
    <x v="0"/>
    <s v="Senior Engineer"/>
    <d v="1959-04-08T00:00:00"/>
    <d v="1986-04-10T00:00:00"/>
    <m/>
    <s v="Development"/>
    <s v=""/>
    <n v="3"/>
    <x v="0"/>
  </r>
  <r>
    <n v="413842"/>
    <s v="10/20/1962"/>
    <s v="Christoph"/>
    <s v="Bahr"/>
    <s v="F"/>
    <d v="1990-10-09T00:00:00"/>
    <n v="3"/>
    <s v="C"/>
    <n v="0"/>
    <s v=""/>
    <n v="40000"/>
    <x v="1"/>
    <s v="Senior Engineer"/>
    <d v="1962-10-20T00:00:00"/>
    <d v="1990-10-09T00:00:00"/>
    <m/>
    <s v="Production"/>
    <s v=""/>
    <n v="2"/>
    <x v="0"/>
  </r>
  <r>
    <n v="10192"/>
    <s v="9/16/1960"/>
    <s v="Mohua"/>
    <s v="Falck"/>
    <s v="M"/>
    <d v="1988-06-13T00:00:00"/>
    <n v="10"/>
    <s v="A"/>
    <n v="0"/>
    <s v=""/>
    <n v="40000"/>
    <x v="1"/>
    <s v="Senior Engineer"/>
    <d v="1960-09-16T00:00:00"/>
    <d v="1988-06-13T00:00:00"/>
    <m/>
    <s v="Production"/>
    <s v=""/>
    <n v="4"/>
    <x v="0"/>
  </r>
  <r>
    <n v="10192"/>
    <s v="9/16/1960"/>
    <s v="Mohua"/>
    <s v="Falck"/>
    <s v="M"/>
    <d v="1988-06-13T00:00:00"/>
    <n v="10"/>
    <s v="A"/>
    <n v="0"/>
    <s v=""/>
    <n v="40000"/>
    <x v="5"/>
    <s v="Senior Engineer"/>
    <d v="1960-09-16T00:00:00"/>
    <d v="1988-06-13T00:00:00"/>
    <m/>
    <s v="Quality Management"/>
    <s v=""/>
    <n v="4"/>
    <x v="0"/>
  </r>
  <r>
    <n v="464798"/>
    <s v="2/18/1954"/>
    <s v="Gen"/>
    <s v="Merey"/>
    <s v="M"/>
    <d v="1989-03-23T00:00:00"/>
    <n v="3"/>
    <s v="A"/>
    <n v="0"/>
    <s v=""/>
    <n v="46791"/>
    <x v="1"/>
    <s v="Senior Engineer"/>
    <d v="1954-02-18T00:00:00"/>
    <d v="1989-03-23T00:00:00"/>
    <m/>
    <s v="Production"/>
    <s v=""/>
    <n v="4"/>
    <x v="0"/>
  </r>
  <r>
    <n v="10193"/>
    <s v="6/29/1960"/>
    <s v="Masaru"/>
    <s v="Cheshire"/>
    <s v="M"/>
    <d v="1991-07-28T00:00:00"/>
    <n v="1"/>
    <s v="C"/>
    <n v="0"/>
    <s v=""/>
    <n v="48733"/>
    <x v="0"/>
    <s v="Engineer"/>
    <d v="1960-06-29T00:00:00"/>
    <d v="1991-07-28T00:00:00"/>
    <m/>
    <s v="Development"/>
    <s v=""/>
    <n v="2"/>
    <x v="0"/>
  </r>
  <r>
    <n v="10194"/>
    <s v="1/29/1954"/>
    <s v="Josyula"/>
    <s v="Hofmeyr"/>
    <s v="F"/>
    <d v="1989-05-15T00:00:00"/>
    <n v="3"/>
    <s v="A"/>
    <n v="0"/>
    <s v=""/>
    <n v="64941"/>
    <x v="7"/>
    <s v="Staff"/>
    <d v="1954-01-29T00:00:00"/>
    <d v="1989-05-15T00:00:00"/>
    <m/>
    <s v="Finance"/>
    <s v=""/>
    <n v="4"/>
    <x v="0"/>
  </r>
  <r>
    <n v="37176"/>
    <s v="3/1/1955"/>
    <s v="Panayotis"/>
    <s v="Daescu"/>
    <s v="M"/>
    <d v="1988-01-25T00:00:00"/>
    <n v="10"/>
    <s v="C"/>
    <n v="0"/>
    <s v=""/>
    <n v="45396"/>
    <x v="1"/>
    <s v="Senior Engineer"/>
    <d v="1955-03-01T00:00:00"/>
    <d v="1988-01-25T00:00:00"/>
    <m/>
    <s v="Production"/>
    <s v=""/>
    <n v="2"/>
    <x v="0"/>
  </r>
  <r>
    <n v="10195"/>
    <s v="11/13/1963"/>
    <s v="Annemarie"/>
    <s v="Redmiles"/>
    <s v="M"/>
    <d v="1985-02-15T00:00:00"/>
    <n v="4"/>
    <s v="A"/>
    <n v="0"/>
    <s v=""/>
    <n v="40000"/>
    <x v="1"/>
    <s v="Senior Engineer"/>
    <d v="1963-11-13T00:00:00"/>
    <d v="1985-02-15T00:00:00"/>
    <m/>
    <s v="Production"/>
    <s v=""/>
    <n v="4"/>
    <x v="0"/>
  </r>
  <r>
    <n v="10196"/>
    <s v="1/27/1954"/>
    <s v="Marc"/>
    <s v="Hellwagner"/>
    <s v="M"/>
    <d v="1994-11-16T00:00:00"/>
    <n v="6"/>
    <s v="B"/>
    <n v="0"/>
    <s v=""/>
    <n v="86671"/>
    <x v="7"/>
    <s v="Staff"/>
    <d v="1954-01-27T00:00:00"/>
    <d v="1994-11-16T00:00:00"/>
    <m/>
    <s v="Finance"/>
    <s v=""/>
    <n v="3"/>
    <x v="0"/>
  </r>
  <r>
    <n v="109820"/>
    <s v="11/11/1952"/>
    <s v="Juichirou"/>
    <s v="Ghelli"/>
    <s v="F"/>
    <d v="1986-12-13T00:00:00"/>
    <n v="1"/>
    <s v="C"/>
    <n v="0"/>
    <s v=""/>
    <n v="40000"/>
    <x v="0"/>
    <s v="Assistant Engineer"/>
    <d v="1952-11-11T00:00:00"/>
    <d v="1986-12-13T00:00:00"/>
    <m/>
    <s v="Development"/>
    <s v=""/>
    <n v="2"/>
    <x v="0"/>
  </r>
  <r>
    <n v="10197"/>
    <s v="8/6/1963"/>
    <s v="Kasidit"/>
    <s v="Krzyzanowski"/>
    <s v="F"/>
    <d v="1993-11-22T00:00:00"/>
    <n v="2"/>
    <s v="B"/>
    <n v="0"/>
    <s v=""/>
    <n v="40000"/>
    <x v="0"/>
    <s v="Senior Engineer"/>
    <d v="1963-08-06T00:00:00"/>
    <d v="1993-11-22T00:00:00"/>
    <m/>
    <s v="Development"/>
    <s v=""/>
    <n v="3"/>
    <x v="0"/>
  </r>
  <r>
    <n v="10198"/>
    <s v="5/28/1953"/>
    <s v="Pranav"/>
    <s v="Furedi"/>
    <s v="M"/>
    <d v="1985-08-31T00:00:00"/>
    <n v="10"/>
    <s v="A"/>
    <n v="0"/>
    <s v=""/>
    <n v="44076"/>
    <x v="0"/>
    <s v="Senior Engineer"/>
    <d v="1953-05-28T00:00:00"/>
    <d v="1985-08-31T00:00:00"/>
    <m/>
    <s v="Development"/>
    <s v=""/>
    <n v="4"/>
    <x v="0"/>
  </r>
  <r>
    <n v="246896"/>
    <s v="3/14/1958"/>
    <s v="Francoise"/>
    <s v="Baik"/>
    <s v="F"/>
    <d v="1996-07-24T00:00:00"/>
    <n v="6"/>
    <s v="A"/>
    <n v="0"/>
    <s v=""/>
    <n v="60075"/>
    <x v="1"/>
    <s v="Engineer"/>
    <d v="1958-03-14T00:00:00"/>
    <d v="1996-07-24T00:00:00"/>
    <m/>
    <s v="Production"/>
    <s v=""/>
    <n v="4"/>
    <x v="0"/>
  </r>
  <r>
    <n v="10199"/>
    <s v="4/7/1959"/>
    <s v="Kazuhisa"/>
    <s v="Ranta"/>
    <s v="M"/>
    <d v="1997-04-29T00:00:00"/>
    <n v="8"/>
    <s v="C"/>
    <n v="0"/>
    <s v=""/>
    <n v="42042"/>
    <x v="2"/>
    <s v="Staff"/>
    <d v="1959-04-07T00:00:00"/>
    <d v="1997-04-29T00:00:00"/>
    <m/>
    <s v="Sales"/>
    <s v=""/>
    <n v="2"/>
    <x v="0"/>
  </r>
  <r>
    <n v="10200"/>
    <s v="12/31/1961"/>
    <s v="Vidya"/>
    <s v="Awdeh"/>
    <s v="M"/>
    <d v="1985-10-16T00:00:00"/>
    <n v="3"/>
    <s v="B"/>
    <n v="0"/>
    <s v=""/>
    <n v="46879"/>
    <x v="1"/>
    <s v="Senior Engineer"/>
    <d v="1961-12-31T00:00:00"/>
    <d v="1985-10-16T00:00:00"/>
    <m/>
    <s v="Production"/>
    <s v=""/>
    <n v="3"/>
    <x v="0"/>
  </r>
  <r>
    <n v="10200"/>
    <s v="12/31/1961"/>
    <s v="Vidya"/>
    <s v="Awdeh"/>
    <s v="M"/>
    <d v="1985-10-16T00:00:00"/>
    <n v="3"/>
    <s v="B"/>
    <n v="0"/>
    <s v=""/>
    <n v="46879"/>
    <x v="5"/>
    <s v="Senior Engineer"/>
    <d v="1961-12-31T00:00:00"/>
    <d v="1985-10-16T00:00:00"/>
    <m/>
    <s v="Quality Management"/>
    <s v=""/>
    <n v="3"/>
    <x v="0"/>
  </r>
  <r>
    <n v="10201"/>
    <s v="12/15/1956"/>
    <s v="Idoia"/>
    <s v="Kavraki"/>
    <s v="F"/>
    <d v="1986-11-22T00:00:00"/>
    <n v="1"/>
    <s v="S"/>
    <n v="0"/>
    <s v=""/>
    <n v="40000"/>
    <x v="0"/>
    <s v="Senior Engineer"/>
    <d v="1956-12-15T00:00:00"/>
    <d v="1986-11-22T00:00:00"/>
    <m/>
    <s v="Development"/>
    <s v=""/>
    <n v="5"/>
    <x v="0"/>
  </r>
  <r>
    <n v="217945"/>
    <s v="3/19/1953"/>
    <s v="Shmuel"/>
    <s v="Georg"/>
    <s v="M"/>
    <d v="1986-11-30T00:00:00"/>
    <n v="7"/>
    <s v="PIP"/>
    <n v="0"/>
    <s v=""/>
    <n v="88260"/>
    <x v="2"/>
    <s v="Senior Staff"/>
    <d v="1953-03-19T00:00:00"/>
    <d v="1986-11-30T00:00:00"/>
    <m/>
    <s v="Sales"/>
    <s v=""/>
    <n v="1"/>
    <x v="0"/>
  </r>
  <r>
    <n v="10202"/>
    <s v="1/5/1956"/>
    <s v="Greger"/>
    <s v="Lichtner"/>
    <s v="M"/>
    <d v="1991-10-06T00:00:00"/>
    <n v="5"/>
    <s v="A"/>
    <n v="0"/>
    <s v=""/>
    <n v="47338"/>
    <x v="0"/>
    <s v="Senior Engineer"/>
    <d v="1956-01-05T00:00:00"/>
    <d v="1991-10-06T00:00:00"/>
    <m/>
    <s v="Development"/>
    <s v=""/>
    <n v="4"/>
    <x v="0"/>
  </r>
  <r>
    <n v="10203"/>
    <s v="7/27/1955"/>
    <s v="Steen"/>
    <s v="Escriba"/>
    <s v="M"/>
    <d v="1989-04-06T00:00:00"/>
    <n v="5"/>
    <s v="A"/>
    <n v="0"/>
    <s v=""/>
    <n v="40000"/>
    <x v="4"/>
    <s v="Staff"/>
    <d v="1955-07-27T00:00:00"/>
    <d v="1989-04-06T00:00:00"/>
    <m/>
    <s v="Research"/>
    <s v=""/>
    <n v="4"/>
    <x v="0"/>
  </r>
  <r>
    <n v="109600"/>
    <s v="4/12/1955"/>
    <s v="Xuejun"/>
    <s v="Chvatal"/>
    <s v="M"/>
    <d v="1991-10-22T00:00:00"/>
    <n v="9"/>
    <s v="A"/>
    <n v="0"/>
    <s v=""/>
    <n v="78057"/>
    <x v="2"/>
    <s v="Staff"/>
    <d v="1955-04-12T00:00:00"/>
    <d v="1991-10-22T00:00:00"/>
    <m/>
    <s v="Sales"/>
    <s v=""/>
    <n v="4"/>
    <x v="0"/>
  </r>
  <r>
    <n v="10204"/>
    <s v="12/9/1956"/>
    <s v="Nevio"/>
    <s v="Ritcey"/>
    <s v="F"/>
    <d v="1986-12-04T00:00:00"/>
    <n v="7"/>
    <s v="C"/>
    <n v="0"/>
    <s v=""/>
    <n v="40000"/>
    <x v="0"/>
    <s v="Engineer"/>
    <d v="1956-12-09T00:00:00"/>
    <d v="1986-12-04T00:00:00"/>
    <m/>
    <s v="Development"/>
    <s v=""/>
    <n v="2"/>
    <x v="0"/>
  </r>
  <r>
    <n v="10205"/>
    <s v="5/20/1953"/>
    <s v="Mabhin"/>
    <s v="Leijenhorst"/>
    <s v="F"/>
    <d v="1993-08-23T00:00:00"/>
    <n v="4"/>
    <s v="C"/>
    <n v="0"/>
    <s v=""/>
    <n v="40000"/>
    <x v="1"/>
    <s v="Senior Engineer"/>
    <d v="1953-05-20T00:00:00"/>
    <d v="1993-08-23T00:00:00"/>
    <m/>
    <s v="Production"/>
    <s v=""/>
    <n v="2"/>
    <x v="0"/>
  </r>
  <r>
    <n v="230858"/>
    <s v="5/13/1960"/>
    <s v="Conal"/>
    <s v="Dayana"/>
    <s v="F"/>
    <d v="1990-08-29T00:00:00"/>
    <n v="4"/>
    <s v="A"/>
    <n v="0"/>
    <s v=""/>
    <n v="57381"/>
    <x v="8"/>
    <s v="Staff"/>
    <d v="1960-05-13T00:00:00"/>
    <d v="1990-08-29T00:00:00"/>
    <m/>
    <s v="Marketing"/>
    <s v=""/>
    <n v="4"/>
    <x v="0"/>
  </r>
  <r>
    <n v="10206"/>
    <s v="9/19/1960"/>
    <s v="Alassane"/>
    <s v="Iwayama"/>
    <s v="F"/>
    <d v="1988-04-19T00:00:00"/>
    <n v="8"/>
    <s v="A"/>
    <n v="0"/>
    <s v=""/>
    <n v="40000"/>
    <x v="0"/>
    <s v="Technique Leader"/>
    <d v="1960-09-19T00:00:00"/>
    <d v="1988-04-19T00:00:00"/>
    <m/>
    <s v="Development"/>
    <s v=""/>
    <n v="4"/>
    <x v="0"/>
  </r>
  <r>
    <n v="10207"/>
    <s v="5/28/1955"/>
    <s v="Girolamo"/>
    <s v="Anandan"/>
    <s v="F"/>
    <d v="1992-10-11T00:00:00"/>
    <n v="8"/>
    <s v="A"/>
    <n v="0"/>
    <s v=""/>
    <n v="52783"/>
    <x v="0"/>
    <s v="Senior Engineer"/>
    <d v="1955-05-28T00:00:00"/>
    <d v="1992-10-11T00:00:00"/>
    <m/>
    <s v="Development"/>
    <s v=""/>
    <n v="4"/>
    <x v="0"/>
  </r>
  <r>
    <n v="279661"/>
    <s v="3/9/1954"/>
    <s v="Xiadong"/>
    <s v="Bach"/>
    <s v="M"/>
    <d v="1986-04-29T00:00:00"/>
    <n v="6"/>
    <s v="PIP"/>
    <n v="0"/>
    <s v=""/>
    <n v="58554"/>
    <x v="2"/>
    <s v="Senior Staff"/>
    <d v="1954-03-09T00:00:00"/>
    <d v="1986-04-29T00:00:00"/>
    <m/>
    <s v="Sales"/>
    <s v=""/>
    <n v="1"/>
    <x v="0"/>
  </r>
  <r>
    <n v="10208"/>
    <s v="1/2/1960"/>
    <s v="Xiping"/>
    <s v="Klerer"/>
    <s v="M"/>
    <d v="1991-12-23T00:00:00"/>
    <n v="7"/>
    <s v="PIP"/>
    <n v="0"/>
    <s v=""/>
    <n v="61890"/>
    <x v="8"/>
    <s v="Staff"/>
    <d v="1960-01-02T00:00:00"/>
    <d v="1991-12-23T00:00:00"/>
    <m/>
    <s v="Marketing"/>
    <s v=""/>
    <n v="1"/>
    <x v="0"/>
  </r>
  <r>
    <n v="10209"/>
    <s v="12/12/1956"/>
    <s v="Yolla"/>
    <s v="Ellozy"/>
    <s v="F"/>
    <d v="1991-11-23T00:00:00"/>
    <n v="10"/>
    <s v="C"/>
    <n v="0"/>
    <s v=""/>
    <n v="57996"/>
    <x v="7"/>
    <s v="Staff"/>
    <d v="1956-12-12T00:00:00"/>
    <d v="1991-11-23T00:00:00"/>
    <m/>
    <s v="Finance"/>
    <s v=""/>
    <n v="2"/>
    <x v="0"/>
  </r>
  <r>
    <n v="10209"/>
    <s v="12/12/1956"/>
    <s v="Yolla"/>
    <s v="Ellozy"/>
    <s v="F"/>
    <d v="1991-11-23T00:00:00"/>
    <n v="10"/>
    <s v="C"/>
    <n v="0"/>
    <s v=""/>
    <n v="57996"/>
    <x v="2"/>
    <s v="Staff"/>
    <d v="1956-12-12T00:00:00"/>
    <d v="1991-11-23T00:00:00"/>
    <m/>
    <s v="Sales"/>
    <s v=""/>
    <n v="2"/>
    <x v="0"/>
  </r>
  <r>
    <n v="287414"/>
    <s v="6/4/1957"/>
    <s v="Arie"/>
    <s v="Kamble"/>
    <s v="M"/>
    <d v="1988-07-01T00:00:00"/>
    <n v="4"/>
    <s v="B"/>
    <n v="0"/>
    <s v=""/>
    <n v="51536"/>
    <x v="1"/>
    <s v="Senior Engineer"/>
    <d v="1957-06-04T00:00:00"/>
    <d v="1988-07-01T00:00:00"/>
    <m/>
    <s v="Production"/>
    <s v=""/>
    <n v="3"/>
    <x v="0"/>
  </r>
  <r>
    <n v="10210"/>
    <s v="1/24/1958"/>
    <s v="Yuping"/>
    <s v="Alpin"/>
    <s v="M"/>
    <d v="1994-05-10T00:00:00"/>
    <n v="3"/>
    <s v="B"/>
    <n v="1"/>
    <s v="9/18/2001"/>
    <n v="40000"/>
    <x v="6"/>
    <s v="Staff"/>
    <d v="1958-01-24T00:00:00"/>
    <d v="1994-05-10T00:00:00"/>
    <d v="2001-09-18T00:00:00"/>
    <s v="Customer Service"/>
    <n v="7.3593429158110881"/>
    <n v="3"/>
    <x v="0"/>
  </r>
  <r>
    <n v="210499"/>
    <s v="7/26/1954"/>
    <s v="Pintsang"/>
    <s v="Peron"/>
    <s v="M"/>
    <d v="1988-11-09T00:00:00"/>
    <n v="5"/>
    <s v="C"/>
    <n v="0"/>
    <s v=""/>
    <n v="71701"/>
    <x v="8"/>
    <s v="Staff"/>
    <d v="1954-07-26T00:00:00"/>
    <d v="1988-11-09T00:00:00"/>
    <m/>
    <s v="Marketing"/>
    <s v=""/>
    <n v="2"/>
    <x v="0"/>
  </r>
  <r>
    <n v="10211"/>
    <s v="8/5/1964"/>
    <s v="Vishu"/>
    <s v="Strehl"/>
    <s v="F"/>
    <d v="1989-11-18T00:00:00"/>
    <n v="7"/>
    <s v="B"/>
    <n v="0"/>
    <s v=""/>
    <n v="49032"/>
    <x v="0"/>
    <s v="Senior Engineer"/>
    <d v="1964-08-05T00:00:00"/>
    <d v="1989-11-18T00:00:00"/>
    <m/>
    <s v="Development"/>
    <s v=""/>
    <n v="3"/>
    <x v="0"/>
  </r>
  <r>
    <n v="10212"/>
    <s v="5/9/1959"/>
    <s v="Divier"/>
    <s v="Esteva"/>
    <s v="M"/>
    <d v="1990-07-11T00:00:00"/>
    <n v="8"/>
    <s v="B"/>
    <n v="1"/>
    <s v="9/22/1995"/>
    <n v="65938"/>
    <x v="0"/>
    <s v="Senior Engineer"/>
    <d v="1959-05-09T00:00:00"/>
    <d v="1990-07-11T00:00:00"/>
    <d v="1995-09-22T00:00:00"/>
    <s v="Development"/>
    <n v="5.1991786447638599"/>
    <n v="3"/>
    <x v="0"/>
  </r>
  <r>
    <n v="268566"/>
    <s v="1/26/1962"/>
    <s v="Panayotis"/>
    <s v="Parveen"/>
    <s v="M"/>
    <d v="1997-04-04T00:00:00"/>
    <n v="8"/>
    <s v="A"/>
    <n v="0"/>
    <s v=""/>
    <n v="73481"/>
    <x v="2"/>
    <s v="Staff"/>
    <d v="1962-01-26T00:00:00"/>
    <d v="1997-04-04T00:00:00"/>
    <m/>
    <s v="Sales"/>
    <s v=""/>
    <n v="4"/>
    <x v="0"/>
  </r>
  <r>
    <n v="10213"/>
    <s v="5/24/1964"/>
    <s v="Jackson"/>
    <s v="Kakkad"/>
    <s v="M"/>
    <d v="1992-11-06T00:00:00"/>
    <n v="8"/>
    <s v="C"/>
    <n v="0"/>
    <s v=""/>
    <n v="40000"/>
    <x v="6"/>
    <s v="Staff"/>
    <d v="1964-05-24T00:00:00"/>
    <d v="1992-11-06T00:00:00"/>
    <m/>
    <s v="Customer Service"/>
    <s v=""/>
    <n v="2"/>
    <x v="0"/>
  </r>
  <r>
    <n v="10214"/>
    <s v="4/14/1962"/>
    <s v="Tadahiko"/>
    <s v="Ciolek"/>
    <s v="M"/>
    <d v="1988-02-29T00:00:00"/>
    <n v="10"/>
    <s v="A"/>
    <n v="0"/>
    <s v=""/>
    <n v="58341"/>
    <x v="2"/>
    <s v="Senior Staff"/>
    <d v="1962-04-14T00:00:00"/>
    <d v="1988-02-29T00:00:00"/>
    <m/>
    <s v="Sales"/>
    <s v=""/>
    <n v="4"/>
    <x v="0"/>
  </r>
  <r>
    <n v="53312"/>
    <s v="4/29/1959"/>
    <s v="Quingbo"/>
    <s v="Lagarias"/>
    <s v="M"/>
    <d v="1987-11-07T00:00:00"/>
    <n v="5"/>
    <s v="C"/>
    <n v="0"/>
    <s v=""/>
    <n v="70268"/>
    <x v="2"/>
    <s v="Staff"/>
    <d v="1959-04-29T00:00:00"/>
    <d v="1987-11-07T00:00:00"/>
    <m/>
    <s v="Sales"/>
    <s v=""/>
    <n v="2"/>
    <x v="0"/>
  </r>
  <r>
    <n v="10215"/>
    <s v="4/2/1954"/>
    <s v="Xiaobin"/>
    <s v="Duclos"/>
    <s v="M"/>
    <d v="1987-10-19T00:00:00"/>
    <n v="1"/>
    <s v="A"/>
    <n v="0"/>
    <s v=""/>
    <n v="43944"/>
    <x v="2"/>
    <s v="Senior Staff"/>
    <d v="1954-04-02T00:00:00"/>
    <d v="1987-10-19T00:00:00"/>
    <m/>
    <s v="Sales"/>
    <s v=""/>
    <n v="4"/>
    <x v="0"/>
  </r>
  <r>
    <n v="10216"/>
    <s v="7/16/1958"/>
    <s v="Amstein"/>
    <s v="Ghemri"/>
    <s v="M"/>
    <d v="1987-10-30T00:00:00"/>
    <n v="5"/>
    <s v="A"/>
    <n v="1"/>
    <s v="11/9/1993"/>
    <n v="40000"/>
    <x v="4"/>
    <s v="Staff"/>
    <d v="1958-07-16T00:00:00"/>
    <d v="1987-10-30T00:00:00"/>
    <d v="1993-11-09T00:00:00"/>
    <s v="Research"/>
    <n v="6.0287474332648872"/>
    <n v="4"/>
    <x v="0"/>
  </r>
  <r>
    <n v="214747"/>
    <s v="6/3/1954"/>
    <s v="Rutger"/>
    <s v="Grospietsch"/>
    <s v="F"/>
    <d v="1990-12-30T00:00:00"/>
    <n v="3"/>
    <s v="A"/>
    <n v="1"/>
    <s v="4/20/1997"/>
    <n v="40000"/>
    <x v="6"/>
    <s v="Staff"/>
    <d v="1954-06-03T00:00:00"/>
    <d v="1990-12-30T00:00:00"/>
    <d v="1997-04-20T00:00:00"/>
    <s v="Customer Service"/>
    <n v="6.3052703627652296"/>
    <n v="4"/>
    <x v="0"/>
  </r>
  <r>
    <n v="10217"/>
    <s v="7/7/1954"/>
    <s v="Yongmin"/>
    <s v="Roison"/>
    <s v="F"/>
    <d v="1986-05-12T00:00:00"/>
    <n v="2"/>
    <s v="B"/>
    <n v="0"/>
    <s v=""/>
    <n v="40000"/>
    <x v="1"/>
    <s v="Technique Leader"/>
    <d v="1954-07-07T00:00:00"/>
    <d v="1986-05-12T00:00:00"/>
    <m/>
    <s v="Production"/>
    <s v=""/>
    <n v="3"/>
    <x v="0"/>
  </r>
  <r>
    <n v="10218"/>
    <s v="12/7/1958"/>
    <s v="Zhenhua"/>
    <s v="Magalhaes"/>
    <s v="M"/>
    <d v="1997-01-15T00:00:00"/>
    <n v="5"/>
    <s v="B"/>
    <n v="1"/>
    <s v="2/28/2003"/>
    <n v="40788"/>
    <x v="1"/>
    <s v="Senior Engineer"/>
    <d v="1958-12-07T00:00:00"/>
    <d v="1997-01-15T00:00:00"/>
    <d v="2003-02-28T00:00:00"/>
    <s v="Production"/>
    <n v="6.1190965092402463"/>
    <n v="3"/>
    <x v="0"/>
  </r>
  <r>
    <n v="231751"/>
    <s v="9/23/1952"/>
    <s v="Van"/>
    <s v="Lunn"/>
    <s v="F"/>
    <d v="1992-11-25T00:00:00"/>
    <n v="9"/>
    <s v="C"/>
    <n v="0"/>
    <s v=""/>
    <n v="40000"/>
    <x v="6"/>
    <s v="Senior Staff"/>
    <d v="1952-09-23T00:00:00"/>
    <d v="1992-11-25T00:00:00"/>
    <m/>
    <s v="Customer Service"/>
    <s v=""/>
    <n v="2"/>
    <x v="0"/>
  </r>
  <r>
    <n v="10219"/>
    <s v="5/2/1952"/>
    <s v="Genta"/>
    <s v="Kolvik"/>
    <s v="M"/>
    <d v="1993-03-31T00:00:00"/>
    <n v="2"/>
    <s v="B"/>
    <n v="0"/>
    <s v=""/>
    <n v="40000"/>
    <x v="0"/>
    <s v="Senior Staff"/>
    <d v="1952-05-02T00:00:00"/>
    <d v="1993-03-31T00:00:00"/>
    <m/>
    <s v="Development"/>
    <s v=""/>
    <n v="3"/>
    <x v="0"/>
  </r>
  <r>
    <n v="10219"/>
    <s v="5/2/1952"/>
    <s v="Genta"/>
    <s v="Kolvik"/>
    <s v="M"/>
    <d v="1993-03-31T00:00:00"/>
    <n v="2"/>
    <s v="B"/>
    <n v="0"/>
    <s v=""/>
    <n v="40000"/>
    <x v="6"/>
    <s v="Senior Staff"/>
    <d v="1952-05-02T00:00:00"/>
    <d v="1993-03-31T00:00:00"/>
    <m/>
    <s v="Customer Service"/>
    <s v=""/>
    <n v="3"/>
    <x v="0"/>
  </r>
  <r>
    <n v="201452"/>
    <s v="4/19/1959"/>
    <s v="Karsten"/>
    <s v="Alpin"/>
    <s v="M"/>
    <d v="1998-02-19T00:00:00"/>
    <n v="6"/>
    <s v="C"/>
    <n v="0"/>
    <s v=""/>
    <n v="58639"/>
    <x v="1"/>
    <s v="Engineer"/>
    <d v="1959-04-19T00:00:00"/>
    <d v="1998-02-19T00:00:00"/>
    <m/>
    <s v="Production"/>
    <s v=""/>
    <n v="2"/>
    <x v="1"/>
  </r>
  <r>
    <n v="10220"/>
    <s v="5/25/1958"/>
    <s v="Kish"/>
    <s v="Fasbender"/>
    <s v="F"/>
    <d v="1992-06-25T00:00:00"/>
    <n v="8"/>
    <s v="C"/>
    <n v="0"/>
    <s v=""/>
    <n v="58883"/>
    <x v="7"/>
    <s v="Staff"/>
    <d v="1958-05-25T00:00:00"/>
    <d v="1992-06-25T00:00:00"/>
    <m/>
    <s v="Finance"/>
    <s v=""/>
    <n v="2"/>
    <x v="0"/>
  </r>
  <r>
    <n v="10221"/>
    <s v="1/3/1957"/>
    <s v="Yucai"/>
    <s v="Granlund"/>
    <s v="M"/>
    <d v="1988-06-08T00:00:00"/>
    <n v="1"/>
    <s v="C"/>
    <n v="0"/>
    <s v=""/>
    <n v="57821"/>
    <x v="1"/>
    <s v="Senior Engineer"/>
    <d v="1957-01-03T00:00:00"/>
    <d v="1988-06-08T00:00:00"/>
    <m/>
    <s v="Production"/>
    <s v=""/>
    <n v="2"/>
    <x v="0"/>
  </r>
  <r>
    <n v="435436"/>
    <s v="3/31/1960"/>
    <s v="Tiina"/>
    <s v="Ozeki"/>
    <s v="F"/>
    <d v="1995-10-20T00:00:00"/>
    <n v="2"/>
    <s v="A"/>
    <n v="1"/>
    <s v="6/16/2009"/>
    <n v="55903"/>
    <x v="1"/>
    <s v="Senior Engineer"/>
    <d v="1960-03-31T00:00:00"/>
    <d v="1995-10-20T00:00:00"/>
    <d v="2009-06-16T00:00:00"/>
    <s v="Production"/>
    <n v="13.656399726214921"/>
    <n v="4"/>
    <x v="0"/>
  </r>
  <r>
    <n v="10222"/>
    <s v="9/21/1962"/>
    <s v="Tze"/>
    <s v="Nourani"/>
    <s v="M"/>
    <d v="1986-06-08T00:00:00"/>
    <n v="7"/>
    <s v="A"/>
    <n v="0"/>
    <s v=""/>
    <n v="40000"/>
    <x v="1"/>
    <s v="Engineer"/>
    <d v="1962-09-21T00:00:00"/>
    <d v="1986-06-08T00:00:00"/>
    <m/>
    <s v="Production"/>
    <s v=""/>
    <n v="4"/>
    <x v="0"/>
  </r>
  <r>
    <n v="10223"/>
    <s v="9/17/1963"/>
    <s v="Carrsten"/>
    <s v="Schmiedel"/>
    <s v="F"/>
    <d v="1985-11-18T00:00:00"/>
    <n v="1"/>
    <s v="C"/>
    <n v="0"/>
    <s v=""/>
    <n v="62922"/>
    <x v="0"/>
    <s v="Engineer"/>
    <d v="1963-09-17T00:00:00"/>
    <d v="1985-11-18T00:00:00"/>
    <m/>
    <s v="Development"/>
    <s v=""/>
    <n v="2"/>
    <x v="0"/>
  </r>
  <r>
    <n v="98882"/>
    <s v="3/12/1954"/>
    <s v="Yishay"/>
    <s v="Vanwelkenhuysen"/>
    <s v="F"/>
    <d v="1989-11-17T00:00:00"/>
    <n v="1"/>
    <s v="C"/>
    <n v="0"/>
    <s v=""/>
    <n v="40000"/>
    <x v="0"/>
    <s v="Senior Engineer"/>
    <d v="1954-03-12T00:00:00"/>
    <d v="1989-11-17T00:00:00"/>
    <m/>
    <s v="Development"/>
    <s v=""/>
    <n v="2"/>
    <x v="0"/>
  </r>
  <r>
    <n v="10224"/>
    <s v="5/17/1954"/>
    <s v="Leon"/>
    <s v="Trogemann"/>
    <s v="M"/>
    <d v="1988-01-09T00:00:00"/>
    <n v="7"/>
    <s v="A"/>
    <n v="0"/>
    <s v=""/>
    <n v="40000"/>
    <x v="1"/>
    <s v="Senior Engineer"/>
    <d v="1954-05-17T00:00:00"/>
    <d v="1988-01-09T00:00:00"/>
    <m/>
    <s v="Production"/>
    <s v=""/>
    <n v="4"/>
    <x v="0"/>
  </r>
  <r>
    <n v="10225"/>
    <s v="2/13/1957"/>
    <s v="Kellie"/>
    <s v="Chinen"/>
    <s v="F"/>
    <d v="1986-06-19T00:00:00"/>
    <n v="7"/>
    <s v="C"/>
    <n v="0"/>
    <s v=""/>
    <n v="40000"/>
    <x v="6"/>
    <s v="Staff"/>
    <d v="1957-02-13T00:00:00"/>
    <d v="1986-06-19T00:00:00"/>
    <m/>
    <s v="Customer Service"/>
    <s v=""/>
    <n v="2"/>
    <x v="0"/>
  </r>
  <r>
    <n v="42924"/>
    <s v="10/24/1961"/>
    <s v="Mads"/>
    <s v="Felcyn"/>
    <s v="F"/>
    <d v="1992-03-20T00:00:00"/>
    <n v="8"/>
    <s v="A"/>
    <n v="0"/>
    <s v=""/>
    <n v="40000"/>
    <x v="1"/>
    <s v="Senior Engineer"/>
    <d v="1961-10-24T00:00:00"/>
    <d v="1992-03-20T00:00:00"/>
    <m/>
    <s v="Production"/>
    <s v=""/>
    <n v="4"/>
    <x v="0"/>
  </r>
  <r>
    <n v="10226"/>
    <s v="12/28/1964"/>
    <s v="Xinglin"/>
    <s v="Plessier"/>
    <s v="M"/>
    <d v="1989-10-27T00:00:00"/>
    <n v="2"/>
    <s v="C"/>
    <n v="0"/>
    <s v=""/>
    <n v="79456"/>
    <x v="2"/>
    <s v="Staff"/>
    <d v="1964-12-28T00:00:00"/>
    <d v="1989-10-27T00:00:00"/>
    <m/>
    <s v="Sales"/>
    <s v=""/>
    <n v="2"/>
    <x v="0"/>
  </r>
  <r>
    <n v="10227"/>
    <s v="7/4/1957"/>
    <s v="Anneli"/>
    <s v="Kaiser"/>
    <s v="M"/>
    <d v="1994-04-24T00:00:00"/>
    <n v="4"/>
    <s v="B"/>
    <n v="0"/>
    <s v=""/>
    <n v="53497"/>
    <x v="0"/>
    <s v="Technique Leader"/>
    <d v="1957-07-04T00:00:00"/>
    <d v="1994-04-24T00:00:00"/>
    <m/>
    <s v="Development"/>
    <s v=""/>
    <n v="3"/>
    <x v="0"/>
  </r>
  <r>
    <n v="78316"/>
    <s v="1/14/1962"/>
    <s v="Roselyn"/>
    <s v="Rahimi"/>
    <s v="M"/>
    <d v="1995-03-15T00:00:00"/>
    <n v="9"/>
    <s v="B"/>
    <n v="0"/>
    <s v=""/>
    <n v="40000"/>
    <x v="0"/>
    <s v="Technique Leader"/>
    <d v="1962-01-14T00:00:00"/>
    <d v="1995-03-15T00:00:00"/>
    <m/>
    <s v="Development"/>
    <s v=""/>
    <n v="3"/>
    <x v="0"/>
  </r>
  <r>
    <n v="10228"/>
    <s v="4/21/1953"/>
    <s v="Karoline"/>
    <s v="Cesareni"/>
    <s v="F"/>
    <d v="1991-08-26T00:00:00"/>
    <n v="8"/>
    <s v="B"/>
    <n v="0"/>
    <s v=""/>
    <n v="79474"/>
    <x v="8"/>
    <s v="Staff"/>
    <d v="1953-04-21T00:00:00"/>
    <d v="1991-08-26T00:00:00"/>
    <m/>
    <s v="Marketing"/>
    <s v=""/>
    <n v="3"/>
    <x v="0"/>
  </r>
  <r>
    <n v="10228"/>
    <s v="4/21/1953"/>
    <s v="Karoline"/>
    <s v="Cesareni"/>
    <s v="F"/>
    <d v="1991-08-26T00:00:00"/>
    <n v="8"/>
    <s v="B"/>
    <n v="0"/>
    <s v=""/>
    <n v="79474"/>
    <x v="2"/>
    <s v="Staff"/>
    <d v="1953-04-21T00:00:00"/>
    <d v="1991-08-26T00:00:00"/>
    <m/>
    <s v="Sales"/>
    <s v=""/>
    <n v="3"/>
    <x v="0"/>
  </r>
  <r>
    <n v="430484"/>
    <s v="10/29/1962"/>
    <s v="Hairong"/>
    <s v="Soicher"/>
    <s v="F"/>
    <d v="1987-03-14T00:00:00"/>
    <n v="5"/>
    <s v="B"/>
    <n v="0"/>
    <s v=""/>
    <n v="40000"/>
    <x v="1"/>
    <s v="Senior Engineer"/>
    <d v="1962-10-29T00:00:00"/>
    <d v="1987-03-14T00:00:00"/>
    <m/>
    <s v="Production"/>
    <s v=""/>
    <n v="3"/>
    <x v="0"/>
  </r>
  <r>
    <n v="10229"/>
    <s v="2/10/1952"/>
    <s v="Ulises"/>
    <s v="Takanami"/>
    <s v="M"/>
    <d v="1987-11-22T00:00:00"/>
    <n v="7"/>
    <s v="B"/>
    <n v="1"/>
    <s v="1/28/1991"/>
    <n v="58321"/>
    <x v="5"/>
    <s v="Engineer"/>
    <d v="1952-02-10T00:00:00"/>
    <d v="1987-11-22T00:00:00"/>
    <d v="1991-01-28T00:00:00"/>
    <s v="Quality Management"/>
    <n v="3.184120465434634"/>
    <n v="3"/>
    <x v="0"/>
  </r>
  <r>
    <n v="10230"/>
    <s v="9/11/1955"/>
    <s v="Clyde"/>
    <s v="Vernadat"/>
    <s v="M"/>
    <d v="1996-06-16T00:00:00"/>
    <n v="7"/>
    <s v="B"/>
    <n v="0"/>
    <s v=""/>
    <n v="47531"/>
    <x v="4"/>
    <s v="Staff"/>
    <d v="1955-09-11T00:00:00"/>
    <d v="1996-06-16T00:00:00"/>
    <m/>
    <s v="Research"/>
    <s v=""/>
    <n v="3"/>
    <x v="0"/>
  </r>
  <r>
    <n v="401368"/>
    <s v="3/31/1960"/>
    <s v="Vidar"/>
    <s v="Azumi"/>
    <s v="M"/>
    <d v="1991-12-04T00:00:00"/>
    <n v="10"/>
    <s v="C"/>
    <n v="0"/>
    <s v=""/>
    <n v="40000"/>
    <x v="0"/>
    <s v="Engineer"/>
    <d v="1960-03-31T00:00:00"/>
    <d v="1991-12-04T00:00:00"/>
    <m/>
    <s v="Development"/>
    <s v=""/>
    <n v="2"/>
    <x v="0"/>
  </r>
  <r>
    <n v="10231"/>
    <s v="7/21/1963"/>
    <s v="Shaowen"/>
    <s v="Desikan"/>
    <s v="F"/>
    <d v="1996-04-13T00:00:00"/>
    <n v="7"/>
    <s v="B"/>
    <n v="0"/>
    <s v=""/>
    <n v="40000"/>
    <x v="6"/>
    <s v="Staff"/>
    <d v="1963-07-21T00:00:00"/>
    <d v="1996-04-13T00:00:00"/>
    <m/>
    <s v="Customer Service"/>
    <s v=""/>
    <n v="3"/>
    <x v="0"/>
  </r>
  <r>
    <n v="10232"/>
    <s v="3/11/1956"/>
    <s v="Marko"/>
    <s v="Auria"/>
    <s v="F"/>
    <d v="1992-06-04T00:00:00"/>
    <n v="9"/>
    <s v="A"/>
    <n v="1"/>
    <s v="12/30/1998"/>
    <n v="89606"/>
    <x v="2"/>
    <s v="Staff"/>
    <d v="1956-03-11T00:00:00"/>
    <d v="1992-06-04T00:00:00"/>
    <d v="1998-12-30T00:00:00"/>
    <s v="Sales"/>
    <n v="6.5708418891170428"/>
    <n v="4"/>
    <x v="0"/>
  </r>
  <r>
    <n v="211383"/>
    <s v="9/24/1960"/>
    <s v="Uli"/>
    <s v="Candan"/>
    <s v="M"/>
    <d v="1992-11-17T00:00:00"/>
    <n v="9"/>
    <s v="A"/>
    <n v="0"/>
    <s v=""/>
    <n v="54215"/>
    <x v="8"/>
    <s v="Staff"/>
    <d v="1960-09-24T00:00:00"/>
    <d v="1992-11-17T00:00:00"/>
    <m/>
    <s v="Marketing"/>
    <s v=""/>
    <n v="4"/>
    <x v="0"/>
  </r>
  <r>
    <n v="211383"/>
    <s v="9/24/1960"/>
    <s v="Uli"/>
    <s v="Candan"/>
    <s v="M"/>
    <d v="1992-11-17T00:00:00"/>
    <n v="9"/>
    <s v="A"/>
    <n v="0"/>
    <s v=""/>
    <n v="54215"/>
    <x v="2"/>
    <s v="Staff"/>
    <d v="1960-09-24T00:00:00"/>
    <d v="1992-11-17T00:00:00"/>
    <m/>
    <s v="Sales"/>
    <s v=""/>
    <n v="4"/>
    <x v="0"/>
  </r>
  <r>
    <n v="10233"/>
    <s v="4/1/1954"/>
    <s v="Lein"/>
    <s v="Vendrig"/>
    <s v="F"/>
    <d v="1985-07-05T00:00:00"/>
    <n v="1"/>
    <s v="C"/>
    <n v="0"/>
    <s v=""/>
    <n v="40000"/>
    <x v="3"/>
    <s v="Staff"/>
    <d v="1954-04-01T00:00:00"/>
    <d v="1985-07-05T00:00:00"/>
    <m/>
    <s v="Human Resources"/>
    <s v=""/>
    <n v="2"/>
    <x v="0"/>
  </r>
  <r>
    <n v="10234"/>
    <s v="1/18/1961"/>
    <s v="Arunachalam"/>
    <s v="Bakhtari"/>
    <s v="M"/>
    <d v="1990-11-19T00:00:00"/>
    <n v="10"/>
    <s v="B"/>
    <n v="0"/>
    <s v=""/>
    <n v="84584"/>
    <x v="2"/>
    <s v="Staff"/>
    <d v="1961-01-18T00:00:00"/>
    <d v="1990-11-19T00:00:00"/>
    <m/>
    <s v="Sales"/>
    <s v=""/>
    <n v="3"/>
    <x v="0"/>
  </r>
  <r>
    <n v="452859"/>
    <s v="4/13/1960"/>
    <s v="Gudjon"/>
    <s v="Poupard"/>
    <s v="M"/>
    <d v="1988-08-28T00:00:00"/>
    <n v="2"/>
    <s v="B"/>
    <n v="0"/>
    <s v=""/>
    <n v="57777"/>
    <x v="8"/>
    <s v="Staff"/>
    <d v="1960-04-13T00:00:00"/>
    <d v="1988-08-28T00:00:00"/>
    <m/>
    <s v="Marketing"/>
    <s v=""/>
    <n v="3"/>
    <x v="0"/>
  </r>
  <r>
    <n v="10235"/>
    <s v="3/27/1958"/>
    <s v="Susanta"/>
    <s v="Roccetti"/>
    <s v="F"/>
    <d v="1995-04-06T00:00:00"/>
    <n v="8"/>
    <s v="A"/>
    <n v="1"/>
    <s v="9/9/2003"/>
    <n v="41941"/>
    <x v="1"/>
    <s v="Senior Engineer"/>
    <d v="1958-03-27T00:00:00"/>
    <d v="1995-04-06T00:00:00"/>
    <d v="2003-09-09T00:00:00"/>
    <s v="Production"/>
    <n v="8.4271047227926079"/>
    <n v="4"/>
    <x v="0"/>
  </r>
  <r>
    <n v="10236"/>
    <s v="3/26/1960"/>
    <s v="Susumu"/>
    <s v="Bade"/>
    <s v="F"/>
    <d v="1996-08-30T00:00:00"/>
    <n v="10"/>
    <s v="C"/>
    <n v="0"/>
    <s v=""/>
    <n v="80469"/>
    <x v="2"/>
    <s v="Staff"/>
    <d v="1960-03-26T00:00:00"/>
    <d v="1996-08-30T00:00:00"/>
    <m/>
    <s v="Sales"/>
    <s v=""/>
    <n v="2"/>
    <x v="0"/>
  </r>
  <r>
    <n v="11842"/>
    <s v="3/31/1954"/>
    <s v="Moto"/>
    <s v="Piazza"/>
    <s v="M"/>
    <d v="1991-12-11T00:00:00"/>
    <n v="9"/>
    <s v="A"/>
    <n v="0"/>
    <s v=""/>
    <n v="40000"/>
    <x v="4"/>
    <s v="Staff"/>
    <d v="1954-03-31T00:00:00"/>
    <d v="1991-12-11T00:00:00"/>
    <m/>
    <s v="Research"/>
    <s v=""/>
    <n v="4"/>
    <x v="0"/>
  </r>
  <r>
    <n v="10237"/>
    <s v="9/22/1952"/>
    <s v="Yannis"/>
    <s v="Mandell"/>
    <s v="F"/>
    <d v="1989-08-11T00:00:00"/>
    <n v="5"/>
    <s v="B"/>
    <n v="0"/>
    <s v=""/>
    <n v="100715"/>
    <x v="2"/>
    <s v="Staff"/>
    <d v="1952-09-22T00:00:00"/>
    <d v="1989-08-11T00:00:00"/>
    <m/>
    <s v="Sales"/>
    <s v=""/>
    <n v="3"/>
    <x v="0"/>
  </r>
  <r>
    <n v="10238"/>
    <s v="11/2/1964"/>
    <s v="Mototsugu"/>
    <s v="Gire"/>
    <s v="F"/>
    <d v="1986-11-19T00:00:00"/>
    <n v="4"/>
    <s v="A"/>
    <n v="0"/>
    <s v=""/>
    <n v="52764"/>
    <x v="0"/>
    <s v="Engineer"/>
    <d v="1964-11-02T00:00:00"/>
    <d v="1986-11-19T00:00:00"/>
    <m/>
    <s v="Development"/>
    <s v=""/>
    <n v="4"/>
    <x v="0"/>
  </r>
  <r>
    <n v="10238"/>
    <s v="11/2/1964"/>
    <s v="Mototsugu"/>
    <s v="Gire"/>
    <s v="F"/>
    <d v="1986-11-19T00:00:00"/>
    <n v="4"/>
    <s v="A"/>
    <n v="0"/>
    <s v=""/>
    <n v="52764"/>
    <x v="4"/>
    <s v="Engineer"/>
    <d v="1964-11-02T00:00:00"/>
    <d v="1986-11-19T00:00:00"/>
    <m/>
    <s v="Research"/>
    <s v=""/>
    <n v="4"/>
    <x v="0"/>
  </r>
  <r>
    <n v="439095"/>
    <s v="4/21/1955"/>
    <s v="Changho"/>
    <s v="Matzat"/>
    <s v="M"/>
    <d v="1989-12-06T00:00:00"/>
    <n v="3"/>
    <s v="B"/>
    <n v="0"/>
    <s v=""/>
    <n v="72075"/>
    <x v="8"/>
    <s v="Staff"/>
    <d v="1955-04-21T00:00:00"/>
    <d v="1989-12-06T00:00:00"/>
    <m/>
    <s v="Marketing"/>
    <s v=""/>
    <n v="3"/>
    <x v="0"/>
  </r>
  <r>
    <n v="10239"/>
    <s v="3/31/1955"/>
    <s v="Nikolaos"/>
    <s v="Llado"/>
    <s v="F"/>
    <d v="1995-05-08T00:00:00"/>
    <n v="2"/>
    <s v="B"/>
    <n v="0"/>
    <s v=""/>
    <n v="65146"/>
    <x v="8"/>
    <s v="Staff"/>
    <d v="1955-03-31T00:00:00"/>
    <d v="1995-05-08T00:00:00"/>
    <m/>
    <s v="Marketing"/>
    <s v=""/>
    <n v="3"/>
    <x v="0"/>
  </r>
  <r>
    <n v="427027"/>
    <s v="11/4/1964"/>
    <s v="Patricio"/>
    <s v="Butner"/>
    <s v="M"/>
    <d v="1987-08-22T00:00:00"/>
    <n v="8"/>
    <s v="A"/>
    <n v="0"/>
    <s v=""/>
    <n v="40000"/>
    <x v="6"/>
    <s v="Staff"/>
    <d v="1964-11-04T00:00:00"/>
    <d v="1987-08-22T00:00:00"/>
    <m/>
    <s v="Customer Service"/>
    <s v=""/>
    <n v="4"/>
    <x v="0"/>
  </r>
  <r>
    <n v="10240"/>
    <s v="4/1/1952"/>
    <s v="Remko"/>
    <s v="Maccarone"/>
    <s v="M"/>
    <d v="1998-10-06T00:00:00"/>
    <n v="9"/>
    <s v="A"/>
    <n v="0"/>
    <s v=""/>
    <n v="73874"/>
    <x v="5"/>
    <s v="Engineer"/>
    <d v="1952-04-01T00:00:00"/>
    <d v="1998-10-06T00:00:00"/>
    <m/>
    <s v="Quality Management"/>
    <s v=""/>
    <n v="4"/>
    <x v="1"/>
  </r>
  <r>
    <n v="10241"/>
    <s v="7/1/1958"/>
    <s v="Ortrud"/>
    <s v="Murillo"/>
    <s v="M"/>
    <d v="1988-06-12T00:00:00"/>
    <n v="2"/>
    <s v="B"/>
    <n v="0"/>
    <s v=""/>
    <n v="40000"/>
    <x v="7"/>
    <s v="Staff"/>
    <d v="1958-07-01T00:00:00"/>
    <d v="1988-06-12T00:00:00"/>
    <m/>
    <s v="Finance"/>
    <s v=""/>
    <n v="3"/>
    <x v="0"/>
  </r>
  <r>
    <n v="10242"/>
    <s v="2/22/1964"/>
    <s v="Lunjin"/>
    <s v="Ozeri"/>
    <s v="M"/>
    <d v="1988-01-18T00:00:00"/>
    <n v="4"/>
    <s v="A"/>
    <n v="0"/>
    <s v=""/>
    <n v="40000"/>
    <x v="1"/>
    <s v="Senior Engineer"/>
    <d v="1964-02-22T00:00:00"/>
    <d v="1988-01-18T00:00:00"/>
    <m/>
    <s v="Production"/>
    <s v=""/>
    <n v="4"/>
    <x v="0"/>
  </r>
  <r>
    <n v="10243"/>
    <s v="12/22/1960"/>
    <s v="Wonhee"/>
    <s v="Pouyioutas"/>
    <s v="M"/>
    <d v="1985-11-24T00:00:00"/>
    <n v="2"/>
    <s v="A"/>
    <n v="0"/>
    <s v=""/>
    <n v="59332"/>
    <x v="2"/>
    <s v="Senior Staff"/>
    <d v="1960-12-22T00:00:00"/>
    <d v="1985-11-24T00:00:00"/>
    <m/>
    <s v="Sales"/>
    <s v=""/>
    <n v="4"/>
    <x v="0"/>
  </r>
  <r>
    <n v="219797"/>
    <s v="1/24/1956"/>
    <s v="Neelam"/>
    <s v="Demeyer"/>
    <s v="M"/>
    <d v="1990-03-04T00:00:00"/>
    <n v="4"/>
    <s v="C"/>
    <n v="0"/>
    <s v=""/>
    <n v="40000"/>
    <x v="2"/>
    <s v="Staff"/>
    <d v="1956-01-24T00:00:00"/>
    <d v="1990-03-04T00:00:00"/>
    <m/>
    <s v="Sales"/>
    <s v=""/>
    <n v="2"/>
    <x v="0"/>
  </r>
  <r>
    <n v="10244"/>
    <s v="10/24/1961"/>
    <s v="Foong"/>
    <s v="Flasterstein"/>
    <s v="M"/>
    <d v="1985-12-23T00:00:00"/>
    <n v="8"/>
    <s v="C"/>
    <n v="0"/>
    <s v=""/>
    <n v="56292"/>
    <x v="0"/>
    <s v="Engineer"/>
    <d v="1961-10-24T00:00:00"/>
    <d v="1985-12-23T00:00:00"/>
    <m/>
    <s v="Development"/>
    <s v=""/>
    <n v="2"/>
    <x v="0"/>
  </r>
  <r>
    <n v="10245"/>
    <s v="8/23/1962"/>
    <s v="Ramalingam"/>
    <s v="Gente"/>
    <s v="F"/>
    <d v="1985-04-26T00:00:00"/>
    <n v="1"/>
    <s v="B"/>
    <n v="0"/>
    <s v=""/>
    <n v="40000"/>
    <x v="4"/>
    <s v="Staff"/>
    <d v="1962-08-23T00:00:00"/>
    <d v="1985-04-26T00:00:00"/>
    <m/>
    <s v="Research"/>
    <s v=""/>
    <n v="3"/>
    <x v="0"/>
  </r>
  <r>
    <n v="293183"/>
    <s v="11/5/1952"/>
    <s v="Guangming"/>
    <s v="Butterworth"/>
    <s v="F"/>
    <d v="1986-10-01T00:00:00"/>
    <n v="7"/>
    <s v="C"/>
    <n v="0"/>
    <s v=""/>
    <n v="56376"/>
    <x v="1"/>
    <s v="Engineer"/>
    <d v="1952-11-05T00:00:00"/>
    <d v="1986-10-01T00:00:00"/>
    <m/>
    <s v="Production"/>
    <s v=""/>
    <n v="2"/>
    <x v="0"/>
  </r>
  <r>
    <n v="10246"/>
    <s v="6/23/1962"/>
    <s v="Basem"/>
    <s v="Teitelbaum"/>
    <s v="M"/>
    <d v="1987-07-12T00:00:00"/>
    <n v="6"/>
    <s v="B"/>
    <n v="0"/>
    <s v=""/>
    <n v="40000"/>
    <x v="1"/>
    <s v="Senior Engineer"/>
    <d v="1962-06-23T00:00:00"/>
    <d v="1987-07-12T00:00:00"/>
    <m/>
    <s v="Production"/>
    <s v=""/>
    <n v="3"/>
    <x v="0"/>
  </r>
  <r>
    <n v="10247"/>
    <s v="6/30/1964"/>
    <s v="Heon"/>
    <s v="Riefers"/>
    <s v="F"/>
    <d v="1992-08-14T00:00:00"/>
    <n v="8"/>
    <s v="A"/>
    <n v="0"/>
    <s v=""/>
    <n v="40000"/>
    <x v="1"/>
    <s v="Senior Engineer"/>
    <d v="1964-06-30T00:00:00"/>
    <d v="1992-08-14T00:00:00"/>
    <m/>
    <s v="Production"/>
    <s v=""/>
    <n v="4"/>
    <x v="0"/>
  </r>
  <r>
    <n v="439788"/>
    <s v="5/14/1958"/>
    <s v="Irene"/>
    <s v="Setia"/>
    <s v="F"/>
    <d v="1986-08-10T00:00:00"/>
    <n v="1"/>
    <s v="A"/>
    <n v="0"/>
    <s v=""/>
    <n v="40000"/>
    <x v="0"/>
    <s v="Engineer"/>
    <d v="1958-05-14T00:00:00"/>
    <d v="1986-08-10T00:00:00"/>
    <m/>
    <s v="Development"/>
    <s v=""/>
    <n v="4"/>
    <x v="0"/>
  </r>
  <r>
    <n v="439788"/>
    <s v="5/14/1958"/>
    <s v="Irene"/>
    <s v="Setia"/>
    <s v="F"/>
    <d v="1986-08-10T00:00:00"/>
    <n v="1"/>
    <s v="A"/>
    <n v="0"/>
    <s v=""/>
    <n v="40000"/>
    <x v="4"/>
    <s v="Engineer"/>
    <d v="1958-05-14T00:00:00"/>
    <d v="1986-08-10T00:00:00"/>
    <m/>
    <s v="Research"/>
    <s v=""/>
    <n v="4"/>
    <x v="0"/>
  </r>
  <r>
    <n v="10248"/>
    <s v="9/24/1955"/>
    <s v="Frederique"/>
    <s v="Tempesti"/>
    <s v="F"/>
    <d v="1991-08-13T00:00:00"/>
    <n v="8"/>
    <s v="A"/>
    <n v="0"/>
    <s v=""/>
    <n v="58918"/>
    <x v="2"/>
    <s v="Staff"/>
    <d v="1955-09-24T00:00:00"/>
    <d v="1991-08-13T00:00:00"/>
    <m/>
    <s v="Sales"/>
    <s v=""/>
    <n v="4"/>
    <x v="0"/>
  </r>
  <r>
    <n v="10249"/>
    <s v="6/10/1954"/>
    <s v="Marie"/>
    <s v="Boreale"/>
    <s v="M"/>
    <d v="1991-12-08T00:00:00"/>
    <n v="5"/>
    <s v="A"/>
    <n v="0"/>
    <s v=""/>
    <n v="72192"/>
    <x v="0"/>
    <s v="Senior Engineer"/>
    <d v="1954-06-10T00:00:00"/>
    <d v="1991-12-08T00:00:00"/>
    <m/>
    <s v="Development"/>
    <s v=""/>
    <n v="4"/>
    <x v="0"/>
  </r>
  <r>
    <n v="10249"/>
    <s v="6/10/1954"/>
    <s v="Marie"/>
    <s v="Boreale"/>
    <s v="M"/>
    <d v="1991-12-08T00:00:00"/>
    <n v="5"/>
    <s v="A"/>
    <n v="0"/>
    <s v=""/>
    <n v="72192"/>
    <x v="4"/>
    <s v="Senior Engineer"/>
    <d v="1954-06-10T00:00:00"/>
    <d v="1991-12-08T00:00:00"/>
    <m/>
    <s v="Research"/>
    <s v=""/>
    <n v="4"/>
    <x v="0"/>
  </r>
  <r>
    <n v="431759"/>
    <s v="2/1/1965"/>
    <s v="Alassane"/>
    <s v="Ramsay"/>
    <s v="M"/>
    <d v="1987-11-05T00:00:00"/>
    <n v="6"/>
    <s v="A"/>
    <n v="0"/>
    <s v=""/>
    <n v="44859"/>
    <x v="1"/>
    <s v="Engineer"/>
    <d v="1965-02-01T00:00:00"/>
    <d v="1987-11-05T00:00:00"/>
    <m/>
    <s v="Production"/>
    <s v=""/>
    <n v="4"/>
    <x v="0"/>
  </r>
  <r>
    <n v="431759"/>
    <s v="2/1/1965"/>
    <s v="Alassane"/>
    <s v="Ramsay"/>
    <s v="M"/>
    <d v="1987-11-05T00:00:00"/>
    <n v="6"/>
    <s v="A"/>
    <n v="0"/>
    <s v=""/>
    <n v="44859"/>
    <x v="5"/>
    <s v="Engineer"/>
    <d v="1965-02-01T00:00:00"/>
    <d v="1987-11-05T00:00:00"/>
    <m/>
    <s v="Quality Management"/>
    <s v=""/>
    <n v="4"/>
    <x v="0"/>
  </r>
  <r>
    <n v="10250"/>
    <s v="8/12/1958"/>
    <s v="Serap"/>
    <s v="Etalle"/>
    <s v="M"/>
    <d v="1992-08-30T00:00:00"/>
    <n v="7"/>
    <s v="A"/>
    <n v="0"/>
    <s v=""/>
    <n v="50330"/>
    <x v="5"/>
    <s v="Senior Engineer"/>
    <d v="1958-08-12T00:00:00"/>
    <d v="1992-08-30T00:00:00"/>
    <m/>
    <s v="Quality Management"/>
    <s v=""/>
    <n v="4"/>
    <x v="0"/>
  </r>
  <r>
    <n v="426193"/>
    <s v="2/10/1954"/>
    <s v="Huiqun"/>
    <s v="Rattan"/>
    <s v="M"/>
    <d v="1985-03-23T00:00:00"/>
    <n v="7"/>
    <s v="A"/>
    <n v="1"/>
    <s v="8/19/1987"/>
    <n v="75063"/>
    <x v="2"/>
    <s v="Staff"/>
    <d v="1954-02-10T00:00:00"/>
    <d v="1985-03-23T00:00:00"/>
    <d v="1987-08-19T00:00:00"/>
    <s v="Sales"/>
    <n v="2.406570841889117"/>
    <n v="4"/>
    <x v="0"/>
  </r>
  <r>
    <n v="10251"/>
    <s v="4/25/1957"/>
    <s v="Alair"/>
    <s v="Rosenbaum"/>
    <s v="M"/>
    <d v="1992-06-25T00:00:00"/>
    <n v="2"/>
    <s v="A"/>
    <n v="0"/>
    <s v=""/>
    <n v="61743"/>
    <x v="4"/>
    <s v="Staff"/>
    <d v="1957-04-25T00:00:00"/>
    <d v="1992-06-25T00:00:00"/>
    <m/>
    <s v="Research"/>
    <s v=""/>
    <n v="4"/>
    <x v="0"/>
  </r>
  <r>
    <n v="10252"/>
    <s v="1/30/1961"/>
    <s v="Shirish"/>
    <s v="Wegerle"/>
    <s v="F"/>
    <d v="1990-11-08T00:00:00"/>
    <n v="4"/>
    <s v="A"/>
    <n v="0"/>
    <s v=""/>
    <n v="40000"/>
    <x v="1"/>
    <s v="Senior Engineer"/>
    <d v="1961-01-30T00:00:00"/>
    <d v="1990-11-08T00:00:00"/>
    <m/>
    <s v="Production"/>
    <s v=""/>
    <n v="4"/>
    <x v="0"/>
  </r>
  <r>
    <n v="416364"/>
    <s v="2/5/1962"/>
    <s v="Zissis"/>
    <s v="Mateescu"/>
    <s v="M"/>
    <d v="1989-11-26T00:00:00"/>
    <n v="1"/>
    <s v="B"/>
    <n v="0"/>
    <s v=""/>
    <n v="64980"/>
    <x v="1"/>
    <s v="Senior Engineer"/>
    <d v="1962-02-05T00:00:00"/>
    <d v="1989-11-26T00:00:00"/>
    <m/>
    <s v="Production"/>
    <s v=""/>
    <n v="3"/>
    <x v="0"/>
  </r>
  <r>
    <n v="416364"/>
    <s v="2/5/1962"/>
    <s v="Zissis"/>
    <s v="Mateescu"/>
    <s v="M"/>
    <d v="1989-11-26T00:00:00"/>
    <n v="1"/>
    <s v="B"/>
    <n v="0"/>
    <s v=""/>
    <n v="64980"/>
    <x v="0"/>
    <s v="Senior Engineer"/>
    <d v="1962-02-05T00:00:00"/>
    <d v="1989-11-26T00:00:00"/>
    <m/>
    <s v="Development"/>
    <s v=""/>
    <n v="3"/>
    <x v="0"/>
  </r>
  <r>
    <n v="10253"/>
    <s v="11/12/1964"/>
    <s v="Zsolt"/>
    <s v="Salinas"/>
    <s v="F"/>
    <d v="1985-02-21T00:00:00"/>
    <n v="9"/>
    <s v="S"/>
    <n v="1"/>
    <s v="10/14/1988"/>
    <n v="62494"/>
    <x v="2"/>
    <s v="Staff"/>
    <d v="1964-11-12T00:00:00"/>
    <d v="1985-02-21T00:00:00"/>
    <d v="1988-10-14T00:00:00"/>
    <s v="Sales"/>
    <n v="3.6440793976728267"/>
    <n v="5"/>
    <x v="0"/>
  </r>
  <r>
    <n v="10254"/>
    <s v="12/7/1959"/>
    <s v="Shen"/>
    <s v="Brattka"/>
    <s v="M"/>
    <d v="1990-06-14T00:00:00"/>
    <n v="5"/>
    <s v="C"/>
    <n v="1"/>
    <s v="6/22/2003"/>
    <n v="60222"/>
    <x v="2"/>
    <s v="Staff"/>
    <d v="1959-12-07T00:00:00"/>
    <d v="1990-06-14T00:00:00"/>
    <d v="2003-06-22T00:00:00"/>
    <s v="Sales"/>
    <n v="13.021218343600275"/>
    <n v="2"/>
    <x v="0"/>
  </r>
  <r>
    <n v="207791"/>
    <s v="8/30/1957"/>
    <s v="Jahangir"/>
    <s v="Schmittgen"/>
    <s v="M"/>
    <d v="1988-08-20T00:00:00"/>
    <n v="3"/>
    <s v="A"/>
    <n v="0"/>
    <s v=""/>
    <n v="43645"/>
    <x v="0"/>
    <s v="Engineer"/>
    <d v="1957-08-30T00:00:00"/>
    <d v="1988-08-20T00:00:00"/>
    <m/>
    <s v="Development"/>
    <s v=""/>
    <n v="4"/>
    <x v="0"/>
  </r>
  <r>
    <n v="10255"/>
    <s v="2/8/1964"/>
    <s v="Roddy"/>
    <s v="Garnick"/>
    <s v="M"/>
    <d v="1993-05-12T00:00:00"/>
    <n v="9"/>
    <s v="A"/>
    <n v="0"/>
    <s v=""/>
    <n v="63822"/>
    <x v="1"/>
    <s v="Senior Engineer"/>
    <d v="1964-02-08T00:00:00"/>
    <d v="1993-05-12T00:00:00"/>
    <m/>
    <s v="Production"/>
    <s v=""/>
    <n v="4"/>
    <x v="0"/>
  </r>
  <r>
    <n v="10256"/>
    <s v="12/2/1960"/>
    <s v="Irene"/>
    <s v="Radhakrishnan"/>
    <s v="M"/>
    <d v="1985-10-12T00:00:00"/>
    <n v="5"/>
    <s v="C"/>
    <n v="0"/>
    <s v=""/>
    <n v="71305"/>
    <x v="2"/>
    <s v="Staff"/>
    <d v="1960-12-02T00:00:00"/>
    <d v="1985-10-12T00:00:00"/>
    <m/>
    <s v="Sales"/>
    <s v=""/>
    <n v="2"/>
    <x v="0"/>
  </r>
  <r>
    <n v="277176"/>
    <s v="7/7/1956"/>
    <s v="Kyoichi"/>
    <s v="Simmel"/>
    <s v="M"/>
    <d v="1994-12-18T00:00:00"/>
    <n v="2"/>
    <s v="A"/>
    <n v="0"/>
    <s v=""/>
    <n v="57027"/>
    <x v="4"/>
    <s v="Staff"/>
    <d v="1956-07-07T00:00:00"/>
    <d v="1994-12-18T00:00:00"/>
    <m/>
    <s v="Research"/>
    <s v=""/>
    <n v="4"/>
    <x v="0"/>
  </r>
  <r>
    <n v="10257"/>
    <s v="9/12/1957"/>
    <s v="Aiman"/>
    <s v="Riexinger"/>
    <s v="M"/>
    <d v="1986-08-05T00:00:00"/>
    <n v="3"/>
    <s v="B"/>
    <n v="0"/>
    <s v=""/>
    <n v="40000"/>
    <x v="1"/>
    <s v="Technique Leader"/>
    <d v="1957-09-12T00:00:00"/>
    <d v="1986-08-05T00:00:00"/>
    <m/>
    <s v="Production"/>
    <s v=""/>
    <n v="3"/>
    <x v="0"/>
  </r>
  <r>
    <n v="10258"/>
    <s v="12/12/1955"/>
    <s v="Basil"/>
    <s v="Ishibashi"/>
    <s v="F"/>
    <d v="1985-05-17T00:00:00"/>
    <n v="8"/>
    <s v="B"/>
    <n v="0"/>
    <s v=""/>
    <n v="66280"/>
    <x v="0"/>
    <s v="Senior Engineer"/>
    <d v="1955-12-12T00:00:00"/>
    <d v="1985-05-17T00:00:00"/>
    <m/>
    <s v="Development"/>
    <s v=""/>
    <n v="3"/>
    <x v="0"/>
  </r>
  <r>
    <n v="22638"/>
    <s v="12/28/1963"/>
    <s v="Mantis"/>
    <s v="Otillio"/>
    <s v="F"/>
    <d v="1988-08-10T00:00:00"/>
    <n v="9"/>
    <s v="C"/>
    <n v="0"/>
    <s v=""/>
    <n v="68821"/>
    <x v="0"/>
    <s v="Technique Leader"/>
    <d v="1963-12-28T00:00:00"/>
    <d v="1988-08-10T00:00:00"/>
    <m/>
    <s v="Development"/>
    <s v=""/>
    <n v="2"/>
    <x v="0"/>
  </r>
  <r>
    <n v="10259"/>
    <s v="11/24/1964"/>
    <s v="Susanna"/>
    <s v="Vesel"/>
    <s v="M"/>
    <d v="1986-06-25T00:00:00"/>
    <n v="1"/>
    <s v="A"/>
    <n v="0"/>
    <s v=""/>
    <n v="88991"/>
    <x v="8"/>
    <s v="Staff"/>
    <d v="1964-11-24T00:00:00"/>
    <d v="1986-06-25T00:00:00"/>
    <m/>
    <s v="Marketing"/>
    <s v=""/>
    <n v="4"/>
    <x v="0"/>
  </r>
  <r>
    <n v="10259"/>
    <s v="11/24/1964"/>
    <s v="Susanna"/>
    <s v="Vesel"/>
    <s v="M"/>
    <d v="1986-06-25T00:00:00"/>
    <n v="1"/>
    <s v="A"/>
    <n v="0"/>
    <s v=""/>
    <n v="88991"/>
    <x v="6"/>
    <s v="Staff"/>
    <d v="1964-11-24T00:00:00"/>
    <d v="1986-06-25T00:00:00"/>
    <m/>
    <s v="Customer Service"/>
    <s v=""/>
    <n v="4"/>
    <x v="0"/>
  </r>
  <r>
    <n v="205714"/>
    <s v="8/27/1954"/>
    <s v="Anwar"/>
    <s v="Ellozy"/>
    <s v="M"/>
    <d v="1991-12-12T00:00:00"/>
    <n v="1"/>
    <s v="B"/>
    <n v="0"/>
    <s v=""/>
    <n v="51903"/>
    <x v="0"/>
    <s v="Senior Engineer"/>
    <d v="1954-08-27T00:00:00"/>
    <d v="1991-12-12T00:00:00"/>
    <m/>
    <s v="Development"/>
    <s v=""/>
    <n v="3"/>
    <x v="0"/>
  </r>
  <r>
    <n v="10260"/>
    <s v="7/14/1961"/>
    <s v="Alper"/>
    <s v="Suomi"/>
    <s v="F"/>
    <d v="1991-04-13T00:00:00"/>
    <n v="10"/>
    <s v="PIP"/>
    <n v="0"/>
    <s v=""/>
    <n v="60879"/>
    <x v="1"/>
    <s v="Senior Engineer"/>
    <d v="1961-07-14T00:00:00"/>
    <d v="1991-04-13T00:00:00"/>
    <m/>
    <s v="Production"/>
    <s v=""/>
    <n v="1"/>
    <x v="0"/>
  </r>
  <r>
    <n v="10261"/>
    <s v="12/25/1959"/>
    <s v="Mang"/>
    <s v="Erie"/>
    <s v="M"/>
    <d v="1993-10-20T00:00:00"/>
    <n v="4"/>
    <s v="C"/>
    <n v="0"/>
    <s v=""/>
    <n v="40000"/>
    <x v="0"/>
    <s v="Senior Engineer"/>
    <d v="1959-12-25T00:00:00"/>
    <d v="1993-10-20T00:00:00"/>
    <m/>
    <s v="Development"/>
    <s v=""/>
    <n v="2"/>
    <x v="0"/>
  </r>
  <r>
    <n v="218042"/>
    <s v="1/11/1960"/>
    <s v="Dharmaraja"/>
    <s v="Berstel"/>
    <s v="M"/>
    <d v="1995-08-08T00:00:00"/>
    <n v="1"/>
    <s v="A"/>
    <n v="0"/>
    <s v=""/>
    <n v="74213"/>
    <x v="7"/>
    <s v="Staff"/>
    <d v="1960-01-11T00:00:00"/>
    <d v="1995-08-08T00:00:00"/>
    <m/>
    <s v="Finance"/>
    <s v=""/>
    <n v="4"/>
    <x v="0"/>
  </r>
  <r>
    <n v="10262"/>
    <s v="8/4/1955"/>
    <s v="Mahendra"/>
    <s v="Maraist"/>
    <s v="F"/>
    <d v="1992-07-27T00:00:00"/>
    <n v="5"/>
    <s v="A"/>
    <n v="1"/>
    <s v="9/27/1999"/>
    <n v="63005"/>
    <x v="2"/>
    <s v="Staff"/>
    <d v="1955-08-04T00:00:00"/>
    <d v="1992-07-27T00:00:00"/>
    <d v="1999-09-27T00:00:00"/>
    <s v="Sales"/>
    <n v="7.1676933607118416"/>
    <n v="4"/>
    <x v="0"/>
  </r>
  <r>
    <n v="10263"/>
    <s v="2/8/1961"/>
    <s v="Takahiro"/>
    <s v="Waterhouse"/>
    <s v="M"/>
    <d v="1994-02-05T00:00:00"/>
    <n v="7"/>
    <s v="A"/>
    <n v="0"/>
    <s v=""/>
    <n v="67883"/>
    <x v="7"/>
    <s v="Staff"/>
    <d v="1961-02-08T00:00:00"/>
    <d v="1994-02-05T00:00:00"/>
    <m/>
    <s v="Finance"/>
    <s v=""/>
    <n v="4"/>
    <x v="0"/>
  </r>
  <r>
    <n v="36965"/>
    <s v="1/7/1953"/>
    <s v="Yechiam"/>
    <s v="Munch"/>
    <s v="M"/>
    <d v="1988-03-08T00:00:00"/>
    <n v="2"/>
    <s v="B"/>
    <n v="1"/>
    <s v="5/23/1992"/>
    <n v="51883"/>
    <x v="0"/>
    <s v="Senior Engineer"/>
    <d v="1953-01-07T00:00:00"/>
    <d v="1988-03-08T00:00:00"/>
    <d v="1992-05-23T00:00:00"/>
    <s v="Development"/>
    <n v="4.2080766598220398"/>
    <n v="3"/>
    <x v="0"/>
  </r>
  <r>
    <n v="10264"/>
    <s v="9/8/1958"/>
    <s v="Nalini"/>
    <s v="Kawashimo"/>
    <s v="F"/>
    <d v="1997-07-16T00:00:00"/>
    <n v="6"/>
    <s v="A"/>
    <n v="0"/>
    <s v=""/>
    <n v="60522"/>
    <x v="0"/>
    <s v="Engineer"/>
    <d v="1958-09-08T00:00:00"/>
    <d v="1997-07-16T00:00:00"/>
    <m/>
    <s v="Development"/>
    <s v=""/>
    <n v="4"/>
    <x v="0"/>
  </r>
  <r>
    <n v="10265"/>
    <s v="12/1/1960"/>
    <s v="Ramalingam"/>
    <s v="Muniz"/>
    <s v="M"/>
    <d v="1989-07-13T00:00:00"/>
    <n v="5"/>
    <s v="C"/>
    <n v="0"/>
    <s v=""/>
    <n v="46382"/>
    <x v="5"/>
    <s v="Senior Engineer"/>
    <d v="1960-12-01T00:00:00"/>
    <d v="1989-07-13T00:00:00"/>
    <m/>
    <s v="Quality Management"/>
    <s v=""/>
    <n v="2"/>
    <x v="0"/>
  </r>
  <r>
    <n v="218058"/>
    <s v="7/27/1958"/>
    <s v="Aiman"/>
    <s v="Szemeredi"/>
    <s v="M"/>
    <d v="1988-08-30T00:00:00"/>
    <n v="1"/>
    <s v="A"/>
    <n v="0"/>
    <s v=""/>
    <n v="67484"/>
    <x v="8"/>
    <s v="Senior Staff"/>
    <d v="1958-07-27T00:00:00"/>
    <d v="1988-08-30T00:00:00"/>
    <m/>
    <s v="Marketing"/>
    <s v=""/>
    <n v="4"/>
    <x v="0"/>
  </r>
  <r>
    <n v="10266"/>
    <s v="2/24/1958"/>
    <s v="Sukumar"/>
    <s v="Rassart"/>
    <s v="M"/>
    <d v="1990-05-25T00:00:00"/>
    <n v="7"/>
    <s v="B"/>
    <n v="0"/>
    <s v=""/>
    <n v="47093"/>
    <x v="1"/>
    <s v="Senior Engineer"/>
    <d v="1958-02-24T00:00:00"/>
    <d v="1990-05-25T00:00:00"/>
    <m/>
    <s v="Production"/>
    <s v=""/>
    <n v="3"/>
    <x v="0"/>
  </r>
  <r>
    <n v="10267"/>
    <s v="1/16/1956"/>
    <s v="Shaunak"/>
    <s v="Cullers"/>
    <s v="M"/>
    <d v="1996-12-11T00:00:00"/>
    <n v="1"/>
    <s v="B"/>
    <n v="0"/>
    <s v=""/>
    <n v="40000"/>
    <x v="1"/>
    <s v="Engineer"/>
    <d v="1956-01-16T00:00:00"/>
    <d v="1996-12-11T00:00:00"/>
    <m/>
    <s v="Production"/>
    <s v=""/>
    <n v="3"/>
    <x v="0"/>
  </r>
  <r>
    <n v="10966"/>
    <s v="7/4/1962"/>
    <s v="Danel"/>
    <s v="Pardalos"/>
    <s v="M"/>
    <d v="1989-11-07T00:00:00"/>
    <n v="5"/>
    <s v="B"/>
    <n v="0"/>
    <s v=""/>
    <n v="70464"/>
    <x v="1"/>
    <s v="Staff"/>
    <d v="1962-07-04T00:00:00"/>
    <d v="1989-11-07T00:00:00"/>
    <m/>
    <s v="Production"/>
    <s v=""/>
    <n v="3"/>
    <x v="0"/>
  </r>
  <r>
    <n v="10966"/>
    <s v="7/4/1962"/>
    <s v="Danel"/>
    <s v="Pardalos"/>
    <s v="M"/>
    <d v="1989-11-07T00:00:00"/>
    <n v="5"/>
    <s v="B"/>
    <n v="0"/>
    <s v=""/>
    <n v="70464"/>
    <x v="4"/>
    <s v="Staff"/>
    <d v="1962-07-04T00:00:00"/>
    <d v="1989-11-07T00:00:00"/>
    <m/>
    <s v="Research"/>
    <s v=""/>
    <n v="3"/>
    <x v="0"/>
  </r>
  <r>
    <n v="10268"/>
    <s v="6/3/1958"/>
    <s v="Nishit"/>
    <s v="Siochi"/>
    <s v="M"/>
    <d v="1986-12-17T00:00:00"/>
    <n v="4"/>
    <s v="B"/>
    <n v="1"/>
    <s v="12/24/1996"/>
    <n v="41017"/>
    <x v="1"/>
    <s v="Engineer"/>
    <d v="1958-06-03T00:00:00"/>
    <d v="1986-12-17T00:00:00"/>
    <d v="1996-12-24T00:00:00"/>
    <s v="Production"/>
    <n v="10.020533880903491"/>
    <n v="3"/>
    <x v="0"/>
  </r>
  <r>
    <n v="10268"/>
    <s v="6/3/1958"/>
    <s v="Nishit"/>
    <s v="Siochi"/>
    <s v="M"/>
    <d v="1986-12-17T00:00:00"/>
    <n v="4"/>
    <s v="B"/>
    <n v="1"/>
    <s v="12/24/1996"/>
    <n v="41017"/>
    <x v="0"/>
    <s v="Engineer"/>
    <d v="1958-06-03T00:00:00"/>
    <d v="1986-12-17T00:00:00"/>
    <d v="1996-12-24T00:00:00"/>
    <s v="Development"/>
    <n v="10.020533880903491"/>
    <n v="3"/>
    <x v="0"/>
  </r>
  <r>
    <n v="423740"/>
    <s v="8/19/1954"/>
    <s v="Jaroslava"/>
    <s v="Bardell"/>
    <s v="F"/>
    <d v="1987-12-01T00:00:00"/>
    <n v="3"/>
    <s v="A"/>
    <n v="0"/>
    <s v=""/>
    <n v="46599"/>
    <x v="0"/>
    <s v="Senior Engineer"/>
    <d v="1954-08-19T00:00:00"/>
    <d v="1987-12-01T00:00:00"/>
    <m/>
    <s v="Development"/>
    <s v=""/>
    <n v="4"/>
    <x v="0"/>
  </r>
  <r>
    <n v="10269"/>
    <s v="10/7/1959"/>
    <s v="Taizo"/>
    <s v="Oxman"/>
    <s v="F"/>
    <d v="1988-07-24T00:00:00"/>
    <n v="3"/>
    <s v="A"/>
    <n v="0"/>
    <s v=""/>
    <n v="40000"/>
    <x v="1"/>
    <s v="Senior Engineer"/>
    <d v="1959-10-07T00:00:00"/>
    <d v="1988-07-24T00:00:00"/>
    <m/>
    <s v="Production"/>
    <s v=""/>
    <n v="4"/>
    <x v="0"/>
  </r>
  <r>
    <n v="10270"/>
    <s v="1/30/1963"/>
    <s v="Bedir"/>
    <s v="Hartvigsen"/>
    <s v="F"/>
    <d v="1990-04-26T00:00:00"/>
    <n v="2"/>
    <s v="A"/>
    <n v="0"/>
    <s v=""/>
    <n v="42081"/>
    <x v="2"/>
    <s v="Staff"/>
    <d v="1963-01-30T00:00:00"/>
    <d v="1990-04-26T00:00:00"/>
    <m/>
    <s v="Sales"/>
    <s v=""/>
    <n v="4"/>
    <x v="0"/>
  </r>
  <r>
    <n v="468180"/>
    <s v="12/20/1959"/>
    <s v="Mads"/>
    <s v="Swen"/>
    <s v="M"/>
    <d v="1992-07-01T00:00:00"/>
    <n v="7"/>
    <s v="B"/>
    <n v="0"/>
    <s v=""/>
    <n v="59348"/>
    <x v="6"/>
    <s v="Staff"/>
    <d v="1959-12-20T00:00:00"/>
    <d v="1992-07-01T00:00:00"/>
    <m/>
    <s v="Customer Service"/>
    <s v=""/>
    <n v="3"/>
    <x v="0"/>
  </r>
  <r>
    <n v="10271"/>
    <s v="4/24/1962"/>
    <s v="Sham"/>
    <s v="Eastman"/>
    <s v="M"/>
    <d v="1986-05-23T00:00:00"/>
    <n v="6"/>
    <s v="A"/>
    <n v="0"/>
    <s v=""/>
    <n v="53680"/>
    <x v="0"/>
    <s v="Senior Engineer"/>
    <d v="1962-04-24T00:00:00"/>
    <d v="1986-05-23T00:00:00"/>
    <m/>
    <s v="Development"/>
    <s v=""/>
    <n v="4"/>
    <x v="0"/>
  </r>
  <r>
    <n v="10272"/>
    <s v="11/30/1954"/>
    <s v="Yishai"/>
    <s v="Cannane"/>
    <s v="M"/>
    <d v="1988-05-23T00:00:00"/>
    <n v="4"/>
    <s v="A"/>
    <n v="0"/>
    <s v=""/>
    <n v="58070"/>
    <x v="7"/>
    <s v="Staff"/>
    <d v="1954-11-30T00:00:00"/>
    <d v="1988-05-23T00:00:00"/>
    <m/>
    <s v="Finance"/>
    <s v=""/>
    <n v="4"/>
    <x v="0"/>
  </r>
  <r>
    <n v="207996"/>
    <s v="5/9/1956"/>
    <s v="Tianruo"/>
    <s v="Milicic"/>
    <s v="F"/>
    <d v="1991-05-29T00:00:00"/>
    <n v="4"/>
    <s v="C"/>
    <n v="1"/>
    <s v="10/18/1996"/>
    <n v="63332"/>
    <x v="7"/>
    <s v="Staff"/>
    <d v="1956-05-09T00:00:00"/>
    <d v="1991-05-29T00:00:00"/>
    <d v="1996-10-18T00:00:00"/>
    <s v="Finance"/>
    <n v="5.3908281998631074"/>
    <n v="2"/>
    <x v="0"/>
  </r>
  <r>
    <n v="10273"/>
    <s v="8/29/1962"/>
    <s v="Baocai"/>
    <s v="Lieblein"/>
    <s v="M"/>
    <d v="1985-11-06T00:00:00"/>
    <n v="1"/>
    <s v="B"/>
    <n v="0"/>
    <s v=""/>
    <n v="75148"/>
    <x v="2"/>
    <s v="Staff"/>
    <d v="1962-08-29T00:00:00"/>
    <d v="1985-11-06T00:00:00"/>
    <m/>
    <s v="Sales"/>
    <s v=""/>
    <n v="3"/>
    <x v="0"/>
  </r>
  <r>
    <n v="10274"/>
    <s v="8/23/1957"/>
    <s v="Dmitri"/>
    <s v="Pearson"/>
    <s v="F"/>
    <d v="1991-04-21T00:00:00"/>
    <n v="7"/>
    <s v="A"/>
    <n v="0"/>
    <s v=""/>
    <n v="86164"/>
    <x v="0"/>
    <s v="Engineer"/>
    <d v="1957-08-23T00:00:00"/>
    <d v="1991-04-21T00:00:00"/>
    <m/>
    <s v="Development"/>
    <s v=""/>
    <n v="4"/>
    <x v="0"/>
  </r>
  <r>
    <n v="286451"/>
    <s v="2/10/1960"/>
    <s v="Shuichi"/>
    <s v="Swiler"/>
    <s v="M"/>
    <d v="1986-06-08T00:00:00"/>
    <n v="3"/>
    <s v="B"/>
    <n v="0"/>
    <s v=""/>
    <n v="40000"/>
    <x v="1"/>
    <s v="Senior Engineer"/>
    <d v="1960-02-10T00:00:00"/>
    <d v="1986-06-08T00:00:00"/>
    <m/>
    <s v="Production"/>
    <s v=""/>
    <n v="3"/>
    <x v="0"/>
  </r>
  <r>
    <n v="10275"/>
    <s v="10/22/1961"/>
    <s v="Marek"/>
    <s v="Luck"/>
    <s v="F"/>
    <d v="1987-09-08T00:00:00"/>
    <n v="5"/>
    <s v="S"/>
    <n v="1"/>
    <s v="6/8/2000"/>
    <n v="40000"/>
    <x v="0"/>
    <s v="Senior Engineer"/>
    <d v="1961-10-22T00:00:00"/>
    <d v="1987-09-08T00:00:00"/>
    <d v="2000-06-08T00:00:00"/>
    <s v="Development"/>
    <n v="12.750171115674195"/>
    <n v="5"/>
    <x v="0"/>
  </r>
  <r>
    <n v="10276"/>
    <s v="7/27/1964"/>
    <s v="Xuejun"/>
    <s v="Hempstead"/>
    <s v="M"/>
    <d v="1985-07-21T00:00:00"/>
    <n v="7"/>
    <s v="PIP"/>
    <n v="0"/>
    <s v=""/>
    <n v="40000"/>
    <x v="0"/>
    <s v="Senior Engineer"/>
    <d v="1964-07-27T00:00:00"/>
    <d v="1985-07-21T00:00:00"/>
    <m/>
    <s v="Development"/>
    <s v=""/>
    <n v="1"/>
    <x v="0"/>
  </r>
  <r>
    <n v="30871"/>
    <s v="6/18/1959"/>
    <s v="Michaela"/>
    <s v="Glowinski"/>
    <s v="M"/>
    <d v="1987-03-02T00:00:00"/>
    <n v="1"/>
    <s v="A"/>
    <n v="0"/>
    <s v=""/>
    <n v="40000"/>
    <x v="1"/>
    <s v="Technique Leader"/>
    <d v="1959-06-18T00:00:00"/>
    <d v="1987-03-02T00:00:00"/>
    <m/>
    <s v="Production"/>
    <s v=""/>
    <n v="4"/>
    <x v="0"/>
  </r>
  <r>
    <n v="10277"/>
    <s v="8/15/1964"/>
    <s v="Isaac"/>
    <s v="Schwartzbauer"/>
    <s v="M"/>
    <d v="1985-06-16T00:00:00"/>
    <n v="5"/>
    <s v="A"/>
    <n v="0"/>
    <s v=""/>
    <n v="59534"/>
    <x v="2"/>
    <s v="Staff"/>
    <d v="1964-08-15T00:00:00"/>
    <d v="1985-06-16T00:00:00"/>
    <m/>
    <s v="Sales"/>
    <s v=""/>
    <n v="4"/>
    <x v="0"/>
  </r>
  <r>
    <n v="10278"/>
    <s v="3/9/1955"/>
    <s v="Lubomir"/>
    <s v="Nitsch"/>
    <s v="M"/>
    <d v="1991-05-17T00:00:00"/>
    <n v="9"/>
    <s v="B"/>
    <n v="0"/>
    <s v=""/>
    <n v="51703"/>
    <x v="0"/>
    <s v="Engineer"/>
    <d v="1955-03-09T00:00:00"/>
    <d v="1991-05-17T00:00:00"/>
    <m/>
    <s v="Development"/>
    <s v=""/>
    <n v="3"/>
    <x v="0"/>
  </r>
  <r>
    <n v="260621"/>
    <s v="5/2/1953"/>
    <s v="Christophe"/>
    <s v="Binding"/>
    <s v="M"/>
    <d v="1991-02-12T00:00:00"/>
    <n v="7"/>
    <s v="PIP"/>
    <n v="0"/>
    <s v=""/>
    <n v="54758"/>
    <x v="1"/>
    <s v="Senior Engineer"/>
    <d v="1953-05-02T00:00:00"/>
    <d v="1991-02-12T00:00:00"/>
    <m/>
    <s v="Production"/>
    <s v=""/>
    <n v="1"/>
    <x v="0"/>
  </r>
  <r>
    <n v="10279"/>
    <s v="8/20/1964"/>
    <s v="Barton"/>
    <s v="Jumpertz"/>
    <s v="F"/>
    <d v="1994-12-20T00:00:00"/>
    <n v="10"/>
    <s v="PIP"/>
    <n v="0"/>
    <s v=""/>
    <n v="40000"/>
    <x v="1"/>
    <s v="Engineer"/>
    <d v="1964-08-20T00:00:00"/>
    <d v="1994-12-20T00:00:00"/>
    <m/>
    <s v="Production"/>
    <s v=""/>
    <n v="1"/>
    <x v="0"/>
  </r>
  <r>
    <n v="10279"/>
    <s v="8/20/1964"/>
    <s v="Barton"/>
    <s v="Jumpertz"/>
    <s v="F"/>
    <d v="1994-12-20T00:00:00"/>
    <n v="10"/>
    <s v="PIP"/>
    <n v="0"/>
    <s v=""/>
    <n v="40000"/>
    <x v="6"/>
    <s v="Engineer"/>
    <d v="1964-08-20T00:00:00"/>
    <d v="1994-12-20T00:00:00"/>
    <m/>
    <s v="Customer Service"/>
    <s v=""/>
    <n v="1"/>
    <x v="0"/>
  </r>
  <r>
    <n v="24103"/>
    <s v="5/31/1954"/>
    <s v="Martins"/>
    <s v="Schaft"/>
    <s v="M"/>
    <d v="1985-03-27T00:00:00"/>
    <n v="4"/>
    <s v="A"/>
    <n v="0"/>
    <s v=""/>
    <n v="40000"/>
    <x v="6"/>
    <s v="Staff"/>
    <d v="1954-05-31T00:00:00"/>
    <d v="1985-03-27T00:00:00"/>
    <m/>
    <s v="Customer Service"/>
    <s v=""/>
    <n v="4"/>
    <x v="0"/>
  </r>
  <r>
    <n v="10280"/>
    <s v="10/29/1964"/>
    <s v="Stabislas"/>
    <s v="Delgrange"/>
    <s v="M"/>
    <d v="1988-03-18T00:00:00"/>
    <n v="2"/>
    <s v="A"/>
    <n v="0"/>
    <s v=""/>
    <n v="66695"/>
    <x v="3"/>
    <s v="Staff"/>
    <d v="1964-10-29T00:00:00"/>
    <d v="1988-03-18T00:00:00"/>
    <m/>
    <s v="Human Resources"/>
    <s v=""/>
    <n v="4"/>
    <x v="0"/>
  </r>
  <r>
    <n v="10281"/>
    <s v="5/13/1953"/>
    <s v="Moty"/>
    <s v="Kusakari"/>
    <s v="M"/>
    <d v="1994-12-03T00:00:00"/>
    <n v="8"/>
    <s v="B"/>
    <n v="0"/>
    <s v=""/>
    <n v="46123"/>
    <x v="5"/>
    <s v="Senior Engineer"/>
    <d v="1953-05-13T00:00:00"/>
    <d v="1994-12-03T00:00:00"/>
    <m/>
    <s v="Quality Management"/>
    <s v=""/>
    <n v="3"/>
    <x v="0"/>
  </r>
  <r>
    <n v="78524"/>
    <s v="5/8/1954"/>
    <s v="Zhiwei"/>
    <s v="Bahk"/>
    <s v="F"/>
    <d v="1988-08-11T00:00:00"/>
    <n v="5"/>
    <s v="B"/>
    <n v="1"/>
    <s v="7/14/2000"/>
    <n v="63123"/>
    <x v="2"/>
    <s v="Staff"/>
    <d v="1954-05-08T00:00:00"/>
    <d v="1988-08-11T00:00:00"/>
    <d v="2000-07-14T00:00:00"/>
    <s v="Sales"/>
    <n v="11.9233401779603"/>
    <n v="3"/>
    <x v="0"/>
  </r>
  <r>
    <n v="10282"/>
    <s v="11/27/1953"/>
    <s v="Hercules"/>
    <s v="Benzmuller"/>
    <s v="M"/>
    <d v="1986-06-04T00:00:00"/>
    <n v="8"/>
    <s v="A"/>
    <n v="0"/>
    <s v=""/>
    <n v="40000"/>
    <x v="1"/>
    <s v="Engineer"/>
    <d v="1953-11-27T00:00:00"/>
    <d v="1986-06-04T00:00:00"/>
    <m/>
    <s v="Production"/>
    <s v=""/>
    <n v="4"/>
    <x v="0"/>
  </r>
  <r>
    <n v="10283"/>
    <s v="7/8/1953"/>
    <s v="Kauko"/>
    <s v="Birjandi"/>
    <s v="M"/>
    <d v="1988-05-25T00:00:00"/>
    <n v="2"/>
    <s v="C"/>
    <n v="1"/>
    <s v="8/15/1993"/>
    <n v="40000"/>
    <x v="0"/>
    <s v="Senior Engineer"/>
    <d v="1953-07-08T00:00:00"/>
    <d v="1988-05-25T00:00:00"/>
    <d v="1993-08-15T00:00:00"/>
    <s v="Development"/>
    <n v="5.2238193018480494"/>
    <n v="2"/>
    <x v="0"/>
  </r>
  <r>
    <n v="10284"/>
    <s v="4/8/1954"/>
    <s v="Masali"/>
    <s v="Murrill"/>
    <s v="F"/>
    <d v="1997-07-02T00:00:00"/>
    <n v="6"/>
    <s v="C"/>
    <n v="0"/>
    <s v=""/>
    <n v="40000"/>
    <x v="1"/>
    <s v="Engineer"/>
    <d v="1954-04-08T00:00:00"/>
    <d v="1997-07-02T00:00:00"/>
    <m/>
    <s v="Production"/>
    <s v=""/>
    <n v="2"/>
    <x v="0"/>
  </r>
  <r>
    <n v="10285"/>
    <s v="9/21/1956"/>
    <s v="Zhonghui"/>
    <s v="Preusig"/>
    <s v="F"/>
    <d v="1995-02-27T00:00:00"/>
    <n v="5"/>
    <s v="A"/>
    <n v="0"/>
    <s v=""/>
    <n v="62075"/>
    <x v="4"/>
    <s v="Staff"/>
    <d v="1956-09-21T00:00:00"/>
    <d v="1995-02-27T00:00:00"/>
    <m/>
    <s v="Research"/>
    <s v=""/>
    <n v="4"/>
    <x v="0"/>
  </r>
  <r>
    <n v="239616"/>
    <s v="2/9/1955"/>
    <s v="Chenyi"/>
    <s v="Benveniste"/>
    <s v="M"/>
    <d v="1990-03-30T00:00:00"/>
    <n v="9"/>
    <s v="A"/>
    <n v="0"/>
    <s v=""/>
    <n v="48836"/>
    <x v="1"/>
    <s v="Technique Leader"/>
    <d v="1955-02-09T00:00:00"/>
    <d v="1990-03-30T00:00:00"/>
    <m/>
    <s v="Production"/>
    <s v=""/>
    <n v="4"/>
    <x v="0"/>
  </r>
  <r>
    <n v="239616"/>
    <s v="2/9/1955"/>
    <s v="Chenyi"/>
    <s v="Benveniste"/>
    <s v="M"/>
    <d v="1990-03-30T00:00:00"/>
    <n v="9"/>
    <s v="A"/>
    <n v="0"/>
    <s v=""/>
    <n v="48836"/>
    <x v="0"/>
    <s v="Technique Leader"/>
    <d v="1955-02-09T00:00:00"/>
    <d v="1990-03-30T00:00:00"/>
    <m/>
    <s v="Development"/>
    <s v=""/>
    <n v="4"/>
    <x v="0"/>
  </r>
  <r>
    <n v="10286"/>
    <s v="5/14/1952"/>
    <s v="Saddek"/>
    <s v="Gopalakrishnan"/>
    <s v="F"/>
    <d v="1988-03-21T00:00:00"/>
    <n v="10"/>
    <s v="A"/>
    <n v="1"/>
    <s v="3/13/1994"/>
    <n v="40000"/>
    <x v="6"/>
    <s v="Staff"/>
    <d v="1952-05-14T00:00:00"/>
    <d v="1988-03-21T00:00:00"/>
    <d v="1994-03-13T00:00:00"/>
    <s v="Customer Service"/>
    <n v="5.976728268309377"/>
    <n v="4"/>
    <x v="0"/>
  </r>
  <r>
    <n v="10287"/>
    <s v="11/28/1963"/>
    <s v="Marie"/>
    <s v="Pietracaprina"/>
    <s v="M"/>
    <d v="1992-12-28T00:00:00"/>
    <n v="6"/>
    <s v="B"/>
    <n v="0"/>
    <s v=""/>
    <n v="55732"/>
    <x v="0"/>
    <s v="Staff"/>
    <d v="1963-11-28T00:00:00"/>
    <d v="1992-12-28T00:00:00"/>
    <m/>
    <s v="Development"/>
    <s v=""/>
    <n v="3"/>
    <x v="0"/>
  </r>
  <r>
    <n v="10287"/>
    <s v="11/28/1963"/>
    <s v="Marie"/>
    <s v="Pietracaprina"/>
    <s v="M"/>
    <d v="1992-12-28T00:00:00"/>
    <n v="6"/>
    <s v="B"/>
    <n v="0"/>
    <s v=""/>
    <n v="55732"/>
    <x v="4"/>
    <s v="Staff"/>
    <d v="1963-11-28T00:00:00"/>
    <d v="1992-12-28T00:00:00"/>
    <m/>
    <s v="Research"/>
    <s v=""/>
    <n v="3"/>
    <x v="0"/>
  </r>
  <r>
    <n v="469619"/>
    <s v="9/17/1955"/>
    <s v="Nakhoon"/>
    <s v="Bennis"/>
    <s v="M"/>
    <d v="1989-12-01T00:00:00"/>
    <n v="8"/>
    <s v="C"/>
    <n v="0"/>
    <s v=""/>
    <n v="47456"/>
    <x v="1"/>
    <s v="Senior Engineer"/>
    <d v="1955-09-17T00:00:00"/>
    <d v="1989-12-01T00:00:00"/>
    <m/>
    <s v="Production"/>
    <s v=""/>
    <n v="2"/>
    <x v="0"/>
  </r>
  <r>
    <n v="10288"/>
    <s v="6/2/1959"/>
    <s v="Selwyn"/>
    <s v="Perri"/>
    <s v="M"/>
    <d v="1994-08-29T00:00:00"/>
    <n v="8"/>
    <s v="C"/>
    <n v="0"/>
    <s v=""/>
    <n v="80474"/>
    <x v="1"/>
    <s v="Technique Leader"/>
    <d v="1959-06-02T00:00:00"/>
    <d v="1994-08-29T00:00:00"/>
    <m/>
    <s v="Production"/>
    <s v=""/>
    <n v="2"/>
    <x v="0"/>
  </r>
  <r>
    <n v="36372"/>
    <s v="7/24/1953"/>
    <s v="Ronghao"/>
    <s v="Conta"/>
    <s v="F"/>
    <d v="1992-06-29T00:00:00"/>
    <n v="4"/>
    <s v="PIP"/>
    <n v="0"/>
    <s v=""/>
    <n v="74338"/>
    <x v="2"/>
    <s v="Senior Staff"/>
    <d v="1953-07-24T00:00:00"/>
    <d v="1992-06-29T00:00:00"/>
    <m/>
    <s v="Sales"/>
    <s v=""/>
    <n v="1"/>
    <x v="0"/>
  </r>
  <r>
    <n v="10289"/>
    <s v="11/30/1956"/>
    <s v="Shay"/>
    <s v="Poulakidas"/>
    <s v="M"/>
    <d v="1990-06-06T00:00:00"/>
    <n v="6"/>
    <s v="A"/>
    <n v="0"/>
    <s v=""/>
    <n v="40000"/>
    <x v="0"/>
    <s v="Technique Leader"/>
    <d v="1956-11-30T00:00:00"/>
    <d v="1990-06-06T00:00:00"/>
    <m/>
    <s v="Development"/>
    <s v=""/>
    <n v="4"/>
    <x v="0"/>
  </r>
  <r>
    <n v="10290"/>
    <s v="5/29/1957"/>
    <s v="Yongmao"/>
    <s v="Pleszkun"/>
    <s v="M"/>
    <d v="1991-09-18T00:00:00"/>
    <n v="5"/>
    <s v="PIP"/>
    <n v="0"/>
    <s v=""/>
    <n v="44274"/>
    <x v="0"/>
    <s v="Senior Engineer"/>
    <d v="1957-05-29T00:00:00"/>
    <d v="1991-09-18T00:00:00"/>
    <m/>
    <s v="Development"/>
    <s v=""/>
    <n v="1"/>
    <x v="0"/>
  </r>
  <r>
    <n v="260402"/>
    <s v="8/7/1956"/>
    <s v="Kwok"/>
    <s v="Bach"/>
    <s v="M"/>
    <d v="1990-04-25T00:00:00"/>
    <n v="3"/>
    <s v="C"/>
    <n v="0"/>
    <s v=""/>
    <n v="40000"/>
    <x v="0"/>
    <s v="Senior Engineer"/>
    <d v="1956-08-07T00:00:00"/>
    <d v="1990-04-25T00:00:00"/>
    <m/>
    <s v="Development"/>
    <s v=""/>
    <n v="2"/>
    <x v="0"/>
  </r>
  <r>
    <n v="10291"/>
    <s v="1/23/1965"/>
    <s v="Dipayan"/>
    <s v="Seghrouchni"/>
    <s v="M"/>
    <d v="1986-09-29T00:00:00"/>
    <n v="1"/>
    <s v="C"/>
    <n v="0"/>
    <s v=""/>
    <n v="57430"/>
    <x v="2"/>
    <s v="Staff"/>
    <d v="1965-01-23T00:00:00"/>
    <d v="1986-09-29T00:00:00"/>
    <m/>
    <s v="Sales"/>
    <s v=""/>
    <n v="2"/>
    <x v="0"/>
  </r>
  <r>
    <n v="10292"/>
    <s v="1/27/1963"/>
    <s v="Yucel"/>
    <s v="Ghelli"/>
    <s v="F"/>
    <d v="1989-06-05T00:00:00"/>
    <n v="2"/>
    <s v="A"/>
    <n v="0"/>
    <s v=""/>
    <n v="78370"/>
    <x v="2"/>
    <s v="Staff"/>
    <d v="1963-01-27T00:00:00"/>
    <d v="1989-06-05T00:00:00"/>
    <m/>
    <s v="Sales"/>
    <s v=""/>
    <n v="4"/>
    <x v="0"/>
  </r>
  <r>
    <n v="469215"/>
    <s v="1/11/1956"/>
    <s v="Juyoung"/>
    <s v="Smailagic"/>
    <s v="F"/>
    <d v="1987-09-15T00:00:00"/>
    <n v="6"/>
    <s v="B"/>
    <n v="0"/>
    <s v=""/>
    <n v="56042"/>
    <x v="0"/>
    <s v="Engineer"/>
    <d v="1956-01-11T00:00:00"/>
    <d v="1987-09-15T00:00:00"/>
    <m/>
    <s v="Development"/>
    <s v=""/>
    <n v="3"/>
    <x v="0"/>
  </r>
  <r>
    <n v="10293"/>
    <s v="11/24/1956"/>
    <s v="Mihalis"/>
    <s v="Avouris"/>
    <s v="F"/>
    <d v="1992-12-12T00:00:00"/>
    <n v="3"/>
    <s v="A"/>
    <n v="0"/>
    <s v=""/>
    <n v="44200"/>
    <x v="1"/>
    <s v="Senior Engineer"/>
    <d v="1956-11-24T00:00:00"/>
    <d v="1992-12-12T00:00:00"/>
    <m/>
    <s v="Production"/>
    <s v=""/>
    <n v="4"/>
    <x v="0"/>
  </r>
  <r>
    <n v="10294"/>
    <s v="1/5/1955"/>
    <s v="Rutger"/>
    <s v="Miara"/>
    <s v="M"/>
    <d v="1996-04-08T00:00:00"/>
    <n v="1"/>
    <s v="C"/>
    <n v="0"/>
    <s v=""/>
    <n v="66448"/>
    <x v="0"/>
    <s v="Senior Engineer"/>
    <d v="1955-01-05T00:00:00"/>
    <d v="1996-04-08T00:00:00"/>
    <m/>
    <s v="Development"/>
    <s v=""/>
    <n v="2"/>
    <x v="0"/>
  </r>
  <r>
    <n v="69005"/>
    <s v="5/2/1959"/>
    <s v="Alain"/>
    <s v="Quadeer"/>
    <s v="M"/>
    <d v="1991-06-10T00:00:00"/>
    <n v="9"/>
    <s v="C"/>
    <n v="0"/>
    <s v=""/>
    <n v="40000"/>
    <x v="0"/>
    <s v="Senior Engineer"/>
    <d v="1959-05-02T00:00:00"/>
    <d v="1991-06-10T00:00:00"/>
    <m/>
    <s v="Development"/>
    <s v=""/>
    <n v="2"/>
    <x v="0"/>
  </r>
  <r>
    <n v="69005"/>
    <s v="5/2/1959"/>
    <s v="Alain"/>
    <s v="Quadeer"/>
    <s v="M"/>
    <d v="1991-06-10T00:00:00"/>
    <n v="9"/>
    <s v="C"/>
    <n v="0"/>
    <s v=""/>
    <n v="40000"/>
    <x v="4"/>
    <s v="Senior Engineer"/>
    <d v="1959-05-02T00:00:00"/>
    <d v="1991-06-10T00:00:00"/>
    <m/>
    <s v="Research"/>
    <s v=""/>
    <n v="2"/>
    <x v="0"/>
  </r>
  <r>
    <n v="10295"/>
    <s v="1/13/1953"/>
    <s v="Kristine"/>
    <s v="Velardi"/>
    <s v="M"/>
    <d v="1990-08-27T00:00:00"/>
    <n v="1"/>
    <s v="C"/>
    <n v="0"/>
    <s v=""/>
    <n v="46398"/>
    <x v="7"/>
    <s v="Staff"/>
    <d v="1953-01-13T00:00:00"/>
    <d v="1990-08-27T00:00:00"/>
    <m/>
    <s v="Finance"/>
    <s v=""/>
    <n v="2"/>
    <x v="0"/>
  </r>
  <r>
    <n v="10296"/>
    <s v="5/13/1964"/>
    <s v="Petter"/>
    <s v="Lorho"/>
    <s v="M"/>
    <d v="1989-09-16T00:00:00"/>
    <n v="1"/>
    <s v="B"/>
    <n v="0"/>
    <s v=""/>
    <n v="77788"/>
    <x v="2"/>
    <s v="Staff"/>
    <d v="1964-05-13T00:00:00"/>
    <d v="1989-09-16T00:00:00"/>
    <m/>
    <s v="Sales"/>
    <s v=""/>
    <n v="3"/>
    <x v="0"/>
  </r>
  <r>
    <n v="279559"/>
    <s v="3/17/1957"/>
    <s v="Jasminko"/>
    <s v="Cronan"/>
    <s v="F"/>
    <d v="1992-10-27T00:00:00"/>
    <n v="8"/>
    <s v="B"/>
    <n v="0"/>
    <s v=""/>
    <n v="83729"/>
    <x v="2"/>
    <s v="Staff"/>
    <d v="1957-03-17T00:00:00"/>
    <d v="1992-10-27T00:00:00"/>
    <m/>
    <s v="Sales"/>
    <s v=""/>
    <n v="3"/>
    <x v="0"/>
  </r>
  <r>
    <n v="279559"/>
    <s v="3/17/1957"/>
    <s v="Jasminko"/>
    <s v="Cronan"/>
    <s v="F"/>
    <d v="1992-10-27T00:00:00"/>
    <n v="8"/>
    <s v="B"/>
    <n v="0"/>
    <s v=""/>
    <n v="83729"/>
    <x v="6"/>
    <s v="Staff"/>
    <d v="1957-03-17T00:00:00"/>
    <d v="1992-10-27T00:00:00"/>
    <m/>
    <s v="Customer Service"/>
    <s v=""/>
    <n v="3"/>
    <x v="0"/>
  </r>
  <r>
    <n v="10297"/>
    <s v="6/17/1956"/>
    <s v="Narain"/>
    <s v="Oaver"/>
    <s v="F"/>
    <d v="1986-05-28T00:00:00"/>
    <n v="9"/>
    <s v="C"/>
    <n v="0"/>
    <m/>
    <n v="63061"/>
    <x v="1"/>
    <s v="Senior Engineer"/>
    <d v="1956-06-17T00:00:00"/>
    <d v="1986-05-28T00:00:00"/>
    <m/>
    <s v="Production"/>
    <s v="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1DC0B-1866-449D-9F2B-B93C9D46B847}" name="PivotTable6" cacheId="2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90:L97" firstHeaderRow="1" firstDataRow="1" firstDataCol="1" rowPageCount="1" colPageCount="1"/>
  <pivotFields count="20"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64" showAll="0"/>
    <pivotField axis="axisRow" showAll="0">
      <items count="10">
        <item x="8"/>
        <item x="7"/>
        <item x="3"/>
        <item x="1"/>
        <item x="0"/>
        <item x="5"/>
        <item x="2"/>
        <item x="4"/>
        <item x="6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1"/>
  </rowFields>
  <rowItems count="7">
    <i>
      <x v="2"/>
    </i>
    <i>
      <x v="3"/>
    </i>
    <i>
      <x v="4"/>
    </i>
    <i>
      <x v="5"/>
    </i>
    <i>
      <x v="7"/>
    </i>
    <i>
      <x v="8"/>
    </i>
    <i t="grand">
      <x/>
    </i>
  </rowItems>
  <colItems count="1">
    <i/>
  </colItems>
  <pageFields count="1">
    <pageField fld="19" item="1" hier="-1"/>
  </pageFields>
  <dataFields count="1">
    <dataField name="Count of Emp_Id" fld="0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48B78-1FF9-419A-AAE6-40BF72A93151}" name="PivotTable5" cacheId="20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F92:G99" firstHeaderRow="1" firstDataRow="1" firstDataCol="1" rowPageCount="1" colPageCount="1"/>
  <pivotFields count="4">
    <pivotField dataField="1" subtotalTop="0" showAll="0" defaultSubtotal="0"/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allDrilled="1" subtotalTop="0" showAll="0" dataSourceSort="1" defaultSubtotal="0" defaultAttributeDrillState="1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21" name="[Emp_Info].[New_DoJ (Year)].&amp;[1998]" cap="1998"/>
  </pageFields>
  <dataFields count="1">
    <dataField name="Count of Emp_Id" fld="0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Emp_Info].[New_DoJ (Year)].&amp;[1998]"/>
        <member name="[Emp_Info].[New_DoJ (Year)].&amp;[199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Emp_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p_Info]"/>
        <x15:activeTabTopLevelEntity name="[Emp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CBD39-33EF-4D35-9F43-B6CA66B17B23}" name="PivotTable4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s">
  <location ref="E69:F85" firstHeaderRow="1" firstDataRow="1" firstDataCol="1"/>
  <pivotFields count="2">
    <pivotField axis="axisRow" allDrilled="1" subtotalTop="0" showAll="0" dataSourceSort="1" defaultSubtotal="0">
      <items count="15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Emp Joined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Emp Joine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DE1C3-F9EA-4DE3-989A-97EB65290E0A}" name="PivotTable3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8:K5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Salary" fld="1" subtotal="average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Salary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_Info]"/>
        <x15:activeTabTopLevelEntity name="[Dep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BD8EB-BC3F-4482-BAD8-78670628F998}" name="PivotTable2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D47:E57" firstHeaderRow="1" firstDataRow="1" firstDataCol="1"/>
  <pivotFields count="2"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8"/>
    </i>
    <i>
      <x v="4"/>
    </i>
    <i>
      <x v="2"/>
    </i>
    <i>
      <x v="6"/>
    </i>
    <i>
      <x v="5"/>
    </i>
    <i>
      <x v="7"/>
    </i>
    <i>
      <x v="1"/>
    </i>
    <i>
      <x v="3"/>
    </i>
    <i>
      <x/>
    </i>
    <i t="grand">
      <x/>
    </i>
  </rowItems>
  <colItems count="1">
    <i/>
  </colItems>
  <dataFields count="1">
    <dataField name="Avg. Salary" fld="1" subtotal="average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g. Salary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p_Info]"/>
        <x15:activeTabTopLevelEntity name="[Emp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42A7-4252-46F3-B7A6-7CEEA43081CA}" name="PivotTable1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E27:F37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0">
    <i>
      <x v="5"/>
    </i>
    <i>
      <x v="1"/>
    </i>
    <i>
      <x v="8"/>
    </i>
    <i>
      <x v="7"/>
    </i>
    <i>
      <x/>
    </i>
    <i>
      <x v="2"/>
    </i>
    <i>
      <x v="4"/>
    </i>
    <i>
      <x v="3"/>
    </i>
    <i>
      <x v="6"/>
    </i>
    <i t="grand">
      <x/>
    </i>
  </rowItems>
  <colItems count="1">
    <i/>
  </colItems>
  <pageFields count="1">
    <pageField fld="1" hier="20" name="[Emp_Info].[Performance Ratings].&amp;[4]" cap="4"/>
  </pageFields>
  <dataFields count="1">
    <dataField name="Top Performers" fld="2" subtotal="count" baseField="0" baseItem="4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Emp_Info].[Performance Ratings].&amp;[4]"/>
        <member name="[Emp_Info].[Performance Ratings].&amp;[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p Performer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p_Info]"/>
        <x15:activeTabTopLevelEntity name="[Emp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C91A0-9A8C-49A1-88DA-05607B9DA598}" name="Table1" displayName="Table1" ref="A1:T501" totalsRowShown="0" headerRowDxfId="29" headerRowBorderDxfId="27" tableBorderDxfId="28" totalsRowBorderDxfId="26">
  <tableColumns count="20">
    <tableColumn id="1" xr3:uid="{D74C5497-2604-4DED-AD83-CCC42BD9B6D3}" name="Emp_Id" dataDxfId="25"/>
    <tableColumn id="2" xr3:uid="{D29D1B57-066D-4862-96E4-6AF5443A4199}" name="DOB" dataDxfId="24"/>
    <tableColumn id="3" xr3:uid="{26609BC2-BB03-436A-AFED-3FE9F6CBAAA6}" name="first_name" dataDxfId="23"/>
    <tableColumn id="4" xr3:uid="{1394208E-C635-408C-928C-559AAFC27AB3}" name="last_name" dataDxfId="22"/>
    <tableColumn id="5" xr3:uid="{ED34825E-5EF2-4499-9D0F-9FFECE0150CE}" name="Gender" dataDxfId="21"/>
    <tableColumn id="6" xr3:uid="{104A6C44-E8BE-4E6B-BE98-A1058A382109}" name="DoJ" dataDxfId="20"/>
    <tableColumn id="7" xr3:uid="{06C11BE3-668E-496C-ABE7-6B8C9C0C78CD}" name="no_of_projects" dataDxfId="19"/>
    <tableColumn id="8" xr3:uid="{6E08CC69-ED4C-4718-8D0E-3AC3DA98AE4B}" name="Last_performance_rating" dataDxfId="18"/>
    <tableColumn id="9" xr3:uid="{5F2CFF52-F58A-4C3D-BAF7-49415DDD856D}" name="Left?" dataDxfId="17"/>
    <tableColumn id="10" xr3:uid="{F05575CA-9362-42BB-9D97-4C113A5BFA83}" name="last_date" dataDxfId="16"/>
    <tableColumn id="11" xr3:uid="{022BED2C-6A6E-419A-8939-BB7F33FF41BD}" name="Salary" dataDxfId="8"/>
    <tableColumn id="12" xr3:uid="{670D702D-2ED9-4008-81E8-A7BB1DBDB428}" name="Dept_Id" dataDxfId="15"/>
    <tableColumn id="13" xr3:uid="{59708A2F-1376-4B65-94A1-A9E84FA097B2}" name="Title" dataDxfId="14"/>
    <tableColumn id="14" xr3:uid="{647E3F36-5462-42BE-A193-AFF350659F9E}" name="New_Dob" dataDxfId="7"/>
    <tableColumn id="15" xr3:uid="{1A428232-09FD-4B3A-8949-3B334618F08E}" name="New_DoJ" dataDxfId="6"/>
    <tableColumn id="16" xr3:uid="{158E63D4-1EE7-494E-92F3-8A8CDC01865F}" name="New_Last_Date" dataDxfId="5"/>
    <tableColumn id="17" xr3:uid="{7723429C-A086-4302-9EE3-2FFB73297A5C}" name="Dept_Name" dataDxfId="4">
      <calculatedColumnFormula>INDEX(Table3[#All], MATCH(Table1[[#This Row],[Dept_Id]], Table3[[#All],[Dept_Id]], 0), 1)</calculatedColumnFormula>
    </tableColumn>
    <tableColumn id="18" xr3:uid="{6E99A3F0-7082-430A-94C9-70AE62CD7FCB}" name="Tenure?(yrs)" dataDxfId="3">
      <calculatedColumnFormula>IF(Table1[[#This Row],[Left?]] = 1, (Table1[[#This Row],[New_Last_Date]]-Table1[[#This Row],[New_DoJ]])/365.25, "")</calculatedColumnFormula>
    </tableColumn>
    <tableColumn id="19" xr3:uid="{C352A415-7407-47FE-91F1-CEF925D431D4}" name="Performance Ratings" dataDxfId="2">
      <calculatedColumnFormula array="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calculatedColumnFormula>
    </tableColumn>
    <tableColumn id="20" xr3:uid="{060B4AAD-2006-4FF2-9A55-6022AE9A4980}" name="Joined in Last 2 years?" dataDxfId="1">
      <calculatedColumnFormula>IF(Table1[[#This Row],[New_DoJ]] &gt;= EDATE( MAX(Table1[New_DoJ]), -24), "Yes", 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604D1C-C9BE-4368-813B-F123B78C0C51}" name="Table3" displayName="Table3" ref="B2:C11" totalsRowShown="0" headerRowBorderDxfId="12" tableBorderDxfId="13" totalsRowBorderDxfId="11">
  <tableColumns count="2">
    <tableColumn id="1" xr3:uid="{51DF8F67-2BFA-4A22-82BE-08E6E95529EC}" name="Dep_Name" dataDxfId="10"/>
    <tableColumn id="2" xr3:uid="{D01949B0-E39E-486F-8D4F-99FC4A3CF2C4}" name="Dept_Id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2ED4-AFDB-4ADB-9FA6-76B91AD16F1B}">
  <dimension ref="A1:V501"/>
  <sheetViews>
    <sheetView tabSelected="1" topLeftCell="A7" zoomScale="108" zoomScaleNormal="120" workbookViewId="0">
      <selection activeCell="F8" sqref="F8"/>
    </sheetView>
  </sheetViews>
  <sheetFormatPr defaultRowHeight="14.4" x14ac:dyDescent="0.3"/>
  <cols>
    <col min="2" max="2" width="12.77734375" customWidth="1"/>
    <col min="6" max="6" width="13.6640625" customWidth="1"/>
    <col min="8" max="8" width="27.21875" customWidth="1"/>
    <col min="10" max="10" width="14.44140625" customWidth="1"/>
    <col min="11" max="11" width="12" bestFit="1" customWidth="1"/>
    <col min="12" max="12" width="9" customWidth="1"/>
    <col min="13" max="13" width="15.6640625" customWidth="1"/>
    <col min="14" max="14" width="15.21875" customWidth="1"/>
    <col min="15" max="15" width="12.5546875" customWidth="1"/>
    <col min="16" max="16" width="15.77734375" customWidth="1"/>
    <col min="17" max="17" width="22" customWidth="1"/>
    <col min="18" max="18" width="15.109375" customWidth="1"/>
    <col min="19" max="19" width="20.6640625" customWidth="1"/>
    <col min="20" max="20" width="27.33203125" customWidth="1"/>
    <col min="22" max="22" width="22.6640625" customWidth="1"/>
    <col min="23" max="23" width="10.44140625" bestFit="1" customWidth="1"/>
  </cols>
  <sheetData>
    <row r="1" spans="1: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1283</v>
      </c>
      <c r="O1" s="2" t="s">
        <v>1284</v>
      </c>
      <c r="P1" s="2" t="s">
        <v>1285</v>
      </c>
      <c r="Q1" s="2" t="s">
        <v>1287</v>
      </c>
      <c r="R1" s="2" t="s">
        <v>1300</v>
      </c>
      <c r="S1" s="2" t="s">
        <v>1305</v>
      </c>
      <c r="T1" s="2" t="s">
        <v>1350</v>
      </c>
      <c r="V1" t="s">
        <v>1355</v>
      </c>
    </row>
    <row r="2" spans="1:22" x14ac:dyDescent="0.3">
      <c r="A2" s="4">
        <v>10001</v>
      </c>
      <c r="B2" s="5" t="s">
        <v>13</v>
      </c>
      <c r="C2" s="5" t="s">
        <v>14</v>
      </c>
      <c r="D2" s="5" t="s">
        <v>15</v>
      </c>
      <c r="E2" s="5" t="s">
        <v>16</v>
      </c>
      <c r="F2" s="15">
        <v>31589</v>
      </c>
      <c r="G2" s="5">
        <v>9</v>
      </c>
      <c r="H2" s="5" t="s">
        <v>17</v>
      </c>
      <c r="I2" s="5">
        <v>1</v>
      </c>
      <c r="J2" s="5" t="s">
        <v>18</v>
      </c>
      <c r="K2" s="12">
        <v>60117</v>
      </c>
      <c r="L2" s="5" t="s">
        <v>19</v>
      </c>
      <c r="M2" s="6" t="s">
        <v>20</v>
      </c>
      <c r="N2" s="14">
        <v>19604</v>
      </c>
      <c r="O2" s="14">
        <v>31589</v>
      </c>
      <c r="P2" s="14">
        <v>34545</v>
      </c>
      <c r="Q2" s="2" t="str">
        <f>INDEX(Table3[#All], MATCH(Table1[[#This Row],[Dept_Id]], Table3[[#All],[Dept_Id]], 0), 1)</f>
        <v>Development</v>
      </c>
      <c r="R2" s="22">
        <f>IF(Table1[[#This Row],[Left?]] = 1, (Table1[[#This Row],[New_Last_Date]]-Table1[[#This Row],[New_DoJ]])/365.25, "")</f>
        <v>8.0930869267624921</v>
      </c>
      <c r="S2" s="2" cm="1">
        <f t="array" ref="S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" s="2" t="str">
        <f>IF(Table1[[#This Row],[New_DoJ]] &gt;= EDATE( MAX(Table1[New_DoJ]), -24), "Yes", "No")</f>
        <v>No</v>
      </c>
      <c r="V2" t="b">
        <f>AND( OR(Table1[[#This Row],[Performance Ratings]]= 1, Table1[[#This Row],[Performance Ratings]]= 2), Table1[[#This Row],[Salary]] &gt;= 90000)</f>
        <v>0</v>
      </c>
    </row>
    <row r="3" spans="1:22" x14ac:dyDescent="0.3">
      <c r="A3" s="4">
        <v>10003</v>
      </c>
      <c r="B3" s="5" t="s">
        <v>21</v>
      </c>
      <c r="C3" s="5" t="s">
        <v>22</v>
      </c>
      <c r="D3" s="5" t="s">
        <v>23</v>
      </c>
      <c r="E3" s="5" t="s">
        <v>16</v>
      </c>
      <c r="F3" s="15">
        <v>31652</v>
      </c>
      <c r="G3" s="5">
        <v>1</v>
      </c>
      <c r="H3" s="5" t="s">
        <v>17</v>
      </c>
      <c r="I3" s="5">
        <v>0</v>
      </c>
      <c r="J3" s="5"/>
      <c r="K3" s="12">
        <v>40006</v>
      </c>
      <c r="L3" s="5" t="s">
        <v>25</v>
      </c>
      <c r="M3" s="6" t="s">
        <v>20</v>
      </c>
      <c r="N3" s="15">
        <v>21887</v>
      </c>
      <c r="O3" s="15">
        <v>31652</v>
      </c>
      <c r="P3" s="5"/>
      <c r="Q3" s="2" t="str">
        <f>INDEX(Table3[#All], MATCH(Table1[[#This Row],[Dept_Id]], Table3[[#All],[Dept_Id]], 0), 1)</f>
        <v>Production</v>
      </c>
      <c r="R3" s="22" t="str">
        <f>IF(Table1[[#This Row],[Left?]] = 1, (Table1[[#This Row],[New_Last_Date]]-Table1[[#This Row],[New_DoJ]])/365.25, "")</f>
        <v/>
      </c>
      <c r="S3" s="2" cm="1">
        <f t="array" ref="S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" s="2" t="str">
        <f>IF(Table1[[#This Row],[New_DoJ]] &gt;= EDATE( MAX(Table1[New_DoJ]), -24), "Yes", "No")</f>
        <v>No</v>
      </c>
    </row>
    <row r="4" spans="1:22" x14ac:dyDescent="0.3">
      <c r="A4" s="4">
        <v>10004</v>
      </c>
      <c r="B4" s="5" t="s">
        <v>26</v>
      </c>
      <c r="C4" s="5" t="s">
        <v>27</v>
      </c>
      <c r="D4" s="5" t="s">
        <v>28</v>
      </c>
      <c r="E4" s="5" t="s">
        <v>16</v>
      </c>
      <c r="F4" s="15">
        <v>31747</v>
      </c>
      <c r="G4" s="5">
        <v>5</v>
      </c>
      <c r="H4" s="5" t="s">
        <v>29</v>
      </c>
      <c r="I4" s="5">
        <v>0</v>
      </c>
      <c r="J4" s="5" t="s">
        <v>24</v>
      </c>
      <c r="K4" s="12">
        <v>40054</v>
      </c>
      <c r="L4" s="5" t="s">
        <v>25</v>
      </c>
      <c r="M4" s="6" t="s">
        <v>20</v>
      </c>
      <c r="N4" s="15">
        <v>19845</v>
      </c>
      <c r="O4" s="15">
        <v>31747</v>
      </c>
      <c r="P4" s="5"/>
      <c r="Q4" s="2" t="str">
        <f>INDEX(Table3[#All], MATCH(Table1[[#This Row],[Dept_Id]], Table3[[#All],[Dept_Id]], 0), 1)</f>
        <v>Production</v>
      </c>
      <c r="R4" s="22" t="str">
        <f>IF(Table1[[#This Row],[Left?]] = 1, (Table1[[#This Row],[New_Last_Date]]-Table1[[#This Row],[New_DoJ]])/365.25, "")</f>
        <v/>
      </c>
      <c r="S4" s="2" cm="1">
        <f t="array" ref="S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" s="2" t="str">
        <f>IF(Table1[[#This Row],[New_DoJ]] &gt;= EDATE( MAX(Table1[New_DoJ]), -24), "Yes", "No")</f>
        <v>No</v>
      </c>
    </row>
    <row r="5" spans="1:22" x14ac:dyDescent="0.3">
      <c r="A5" s="4">
        <v>10006</v>
      </c>
      <c r="B5" s="5" t="s">
        <v>30</v>
      </c>
      <c r="C5" s="5" t="s">
        <v>31</v>
      </c>
      <c r="D5" s="5" t="s">
        <v>32</v>
      </c>
      <c r="E5" s="5" t="s">
        <v>33</v>
      </c>
      <c r="F5" s="15">
        <v>32661</v>
      </c>
      <c r="G5" s="5">
        <v>10</v>
      </c>
      <c r="H5" s="5" t="s">
        <v>34</v>
      </c>
      <c r="I5" s="5">
        <v>0</v>
      </c>
      <c r="J5" s="5" t="s">
        <v>24</v>
      </c>
      <c r="K5" s="12">
        <v>40000</v>
      </c>
      <c r="L5" s="5" t="s">
        <v>19</v>
      </c>
      <c r="M5" s="6" t="s">
        <v>20</v>
      </c>
      <c r="N5" s="15">
        <v>19469</v>
      </c>
      <c r="O5" s="15">
        <v>32661</v>
      </c>
      <c r="P5" s="5"/>
      <c r="Q5" s="2" t="str">
        <f>INDEX(Table3[#All], MATCH(Table1[[#This Row],[Dept_Id]], Table3[[#All],[Dept_Id]], 0), 1)</f>
        <v>Development</v>
      </c>
      <c r="R5" s="22" t="str">
        <f>IF(Table1[[#This Row],[Left?]] = 1, (Table1[[#This Row],[New_Last_Date]]-Table1[[#This Row],[New_DoJ]])/365.25, "")</f>
        <v/>
      </c>
      <c r="S5" s="2" cm="1">
        <f t="array" ref="S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5" s="2" t="str">
        <f>IF(Table1[[#This Row],[New_DoJ]] &gt;= EDATE( MAX(Table1[New_DoJ]), -24), "Yes", "No")</f>
        <v>No</v>
      </c>
    </row>
    <row r="6" spans="1:22" x14ac:dyDescent="0.3">
      <c r="A6" s="4">
        <v>10002</v>
      </c>
      <c r="B6" s="5" t="s">
        <v>35</v>
      </c>
      <c r="C6" s="5" t="s">
        <v>36</v>
      </c>
      <c r="D6" s="5" t="s">
        <v>37</v>
      </c>
      <c r="E6" s="5" t="s">
        <v>33</v>
      </c>
      <c r="F6" s="15">
        <v>31372</v>
      </c>
      <c r="G6" s="5">
        <v>8</v>
      </c>
      <c r="H6" s="5" t="s">
        <v>34</v>
      </c>
      <c r="I6" s="5">
        <v>0</v>
      </c>
      <c r="J6" s="5"/>
      <c r="K6" s="12">
        <v>65828</v>
      </c>
      <c r="L6" s="5" t="s">
        <v>38</v>
      </c>
      <c r="M6" s="6" t="s">
        <v>39</v>
      </c>
      <c r="N6" s="15">
        <v>23530</v>
      </c>
      <c r="O6" s="15">
        <v>31372</v>
      </c>
      <c r="P6" s="5"/>
      <c r="Q6" s="2" t="str">
        <f>INDEX(Table3[#All], MATCH(Table1[[#This Row],[Dept_Id]], Table3[[#All],[Dept_Id]], 0), 1)</f>
        <v>Sales</v>
      </c>
      <c r="R6" s="22" t="str">
        <f>IF(Table1[[#This Row],[Left?]] = 1, (Table1[[#This Row],[New_Last_Date]]-Table1[[#This Row],[New_DoJ]])/365.25, "")</f>
        <v/>
      </c>
      <c r="S6" s="2" cm="1">
        <f t="array" ref="S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6" s="2" t="str">
        <f>IF(Table1[[#This Row],[New_DoJ]] &gt;= EDATE( MAX(Table1[New_DoJ]), -24), "Yes", "No")</f>
        <v>No</v>
      </c>
    </row>
    <row r="7" spans="1:22" x14ac:dyDescent="0.3">
      <c r="A7" s="4">
        <v>10005</v>
      </c>
      <c r="B7" s="5" t="s">
        <v>40</v>
      </c>
      <c r="C7" s="5" t="s">
        <v>41</v>
      </c>
      <c r="D7" s="5" t="s">
        <v>42</v>
      </c>
      <c r="E7" s="5" t="s">
        <v>16</v>
      </c>
      <c r="F7" s="15">
        <v>32763</v>
      </c>
      <c r="G7" s="5">
        <v>6</v>
      </c>
      <c r="H7" s="5" t="s">
        <v>29</v>
      </c>
      <c r="I7" s="5">
        <v>0</v>
      </c>
      <c r="J7" s="5"/>
      <c r="K7" s="12">
        <v>78228</v>
      </c>
      <c r="L7" s="5" t="s">
        <v>43</v>
      </c>
      <c r="M7" s="6" t="s">
        <v>39</v>
      </c>
      <c r="N7" s="15">
        <v>20110</v>
      </c>
      <c r="O7" s="15">
        <v>32763</v>
      </c>
      <c r="P7" s="5"/>
      <c r="Q7" s="2" t="str">
        <f>INDEX(Table3[#All], MATCH(Table1[[#This Row],[Dept_Id]], Table3[[#All],[Dept_Id]], 0), 1)</f>
        <v>Human Resources</v>
      </c>
      <c r="R7" s="22" t="str">
        <f>IF(Table1[[#This Row],[Left?]] = 1, (Table1[[#This Row],[New_Last_Date]]-Table1[[#This Row],[New_DoJ]])/365.25, "")</f>
        <v/>
      </c>
      <c r="S7" s="2" cm="1">
        <f t="array" ref="S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7" s="2" t="str">
        <f>IF(Table1[[#This Row],[New_DoJ]] &gt;= EDATE( MAX(Table1[New_DoJ]), -24), "Yes", "No")</f>
        <v>No</v>
      </c>
    </row>
    <row r="8" spans="1:22" x14ac:dyDescent="0.3">
      <c r="A8" s="4">
        <v>421786</v>
      </c>
      <c r="B8" s="5" t="s">
        <v>44</v>
      </c>
      <c r="C8" s="5" t="s">
        <v>45</v>
      </c>
      <c r="D8" s="5" t="s">
        <v>46</v>
      </c>
      <c r="E8" s="5" t="s">
        <v>16</v>
      </c>
      <c r="F8" s="15">
        <v>32107</v>
      </c>
      <c r="G8" s="5">
        <v>2</v>
      </c>
      <c r="H8" s="5" t="s">
        <v>17</v>
      </c>
      <c r="I8" s="5">
        <v>0</v>
      </c>
      <c r="J8" s="5" t="s">
        <v>24</v>
      </c>
      <c r="K8" s="12">
        <v>40000</v>
      </c>
      <c r="L8" s="5" t="s">
        <v>43</v>
      </c>
      <c r="M8" s="6" t="s">
        <v>39</v>
      </c>
      <c r="N8" s="15">
        <v>21091</v>
      </c>
      <c r="O8" s="15">
        <v>32107</v>
      </c>
      <c r="P8" s="5"/>
      <c r="Q8" s="2" t="str">
        <f>INDEX(Table3[#All], MATCH(Table1[[#This Row],[Dept_Id]], Table3[[#All],[Dept_Id]], 0), 1)</f>
        <v>Human Resources</v>
      </c>
      <c r="R8" s="22" t="str">
        <f>IF(Table1[[#This Row],[Left?]] = 1, (Table1[[#This Row],[New_Last_Date]]-Table1[[#This Row],[New_DoJ]])/365.25, "")</f>
        <v/>
      </c>
      <c r="S8" s="2" cm="1">
        <f t="array" ref="S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8" s="2" t="str">
        <f>IF(Table1[[#This Row],[New_DoJ]] &gt;= EDATE( MAX(Table1[New_DoJ]), -24), "Yes", "No")</f>
        <v>No</v>
      </c>
    </row>
    <row r="9" spans="1:22" x14ac:dyDescent="0.3">
      <c r="A9" s="4">
        <v>57444</v>
      </c>
      <c r="B9" s="5" t="s">
        <v>47</v>
      </c>
      <c r="C9" s="5" t="s">
        <v>48</v>
      </c>
      <c r="D9" s="5" t="s">
        <v>49</v>
      </c>
      <c r="E9" s="5" t="s">
        <v>33</v>
      </c>
      <c r="F9" s="15">
        <v>33684</v>
      </c>
      <c r="G9" s="5">
        <v>9</v>
      </c>
      <c r="H9" s="5" t="s">
        <v>29</v>
      </c>
      <c r="I9" s="5">
        <v>0</v>
      </c>
      <c r="J9" s="5" t="s">
        <v>24</v>
      </c>
      <c r="K9" s="12">
        <v>48973</v>
      </c>
      <c r="L9" s="5" t="s">
        <v>25</v>
      </c>
      <c r="M9" s="6" t="s">
        <v>50</v>
      </c>
      <c r="N9" s="15">
        <v>21215</v>
      </c>
      <c r="O9" s="15">
        <v>33684</v>
      </c>
      <c r="P9" s="5"/>
      <c r="Q9" s="2" t="str">
        <f>INDEX(Table3[#All], MATCH(Table1[[#This Row],[Dept_Id]], Table3[[#All],[Dept_Id]], 0), 1)</f>
        <v>Production</v>
      </c>
      <c r="R9" s="22" t="str">
        <f>IF(Table1[[#This Row],[Left?]] = 1, (Table1[[#This Row],[New_Last_Date]]-Table1[[#This Row],[New_DoJ]])/365.25, "")</f>
        <v/>
      </c>
      <c r="S9" s="2" cm="1">
        <f t="array" ref="S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9" s="2" t="str">
        <f>IF(Table1[[#This Row],[New_DoJ]] &gt;= EDATE( MAX(Table1[New_DoJ]), -24), "Yes", "No")</f>
        <v>No</v>
      </c>
    </row>
    <row r="10" spans="1:22" x14ac:dyDescent="0.3">
      <c r="A10" s="4">
        <v>10007</v>
      </c>
      <c r="B10" s="5" t="s">
        <v>51</v>
      </c>
      <c r="C10" s="5" t="s">
        <v>52</v>
      </c>
      <c r="D10" s="5" t="s">
        <v>53</v>
      </c>
      <c r="E10" s="5" t="s">
        <v>33</v>
      </c>
      <c r="F10" s="15">
        <v>32549</v>
      </c>
      <c r="G10" s="5">
        <v>6</v>
      </c>
      <c r="H10" s="5" t="s">
        <v>34</v>
      </c>
      <c r="I10" s="5">
        <v>1</v>
      </c>
      <c r="J10" s="5" t="s">
        <v>54</v>
      </c>
      <c r="K10" s="12">
        <v>56724</v>
      </c>
      <c r="L10" s="5" t="s">
        <v>55</v>
      </c>
      <c r="M10" s="6" t="s">
        <v>39</v>
      </c>
      <c r="N10" s="15">
        <v>20963</v>
      </c>
      <c r="O10" s="15">
        <v>32549</v>
      </c>
      <c r="P10" s="15">
        <v>37517</v>
      </c>
      <c r="Q10" s="2" t="str">
        <f>INDEX(Table3[#All], MATCH(Table1[[#This Row],[Dept_Id]], Table3[[#All],[Dept_Id]], 0), 1)</f>
        <v>Research</v>
      </c>
      <c r="R10" s="22">
        <f>IF(Table1[[#This Row],[Left?]] = 1, (Table1[[#This Row],[New_Last_Date]]-Table1[[#This Row],[New_DoJ]])/365.25, "")</f>
        <v>13.60164271047228</v>
      </c>
      <c r="S10" s="2" cm="1">
        <f t="array" ref="S1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0" s="2" t="str">
        <f>IF(Table1[[#This Row],[New_DoJ]] &gt;= EDATE( MAX(Table1[New_DoJ]), -24), "Yes", "No")</f>
        <v>No</v>
      </c>
    </row>
    <row r="11" spans="1:22" x14ac:dyDescent="0.3">
      <c r="A11" s="4">
        <v>10008</v>
      </c>
      <c r="B11" s="5" t="s">
        <v>56</v>
      </c>
      <c r="C11" s="5" t="s">
        <v>57</v>
      </c>
      <c r="D11" s="5" t="s">
        <v>58</v>
      </c>
      <c r="E11" s="5" t="s">
        <v>16</v>
      </c>
      <c r="F11" s="15">
        <v>34592</v>
      </c>
      <c r="G11" s="5">
        <v>9</v>
      </c>
      <c r="H11" s="5" t="s">
        <v>17</v>
      </c>
      <c r="I11" s="5">
        <v>0</v>
      </c>
      <c r="J11" s="5" t="s">
        <v>24</v>
      </c>
      <c r="K11" s="12">
        <v>46671</v>
      </c>
      <c r="L11" s="5" t="s">
        <v>19</v>
      </c>
      <c r="M11" s="6" t="s">
        <v>59</v>
      </c>
      <c r="N11" s="15">
        <v>21235</v>
      </c>
      <c r="O11" s="15">
        <v>34592</v>
      </c>
      <c r="P11" s="5"/>
      <c r="Q11" s="2" t="str">
        <f>INDEX(Table3[#All], MATCH(Table1[[#This Row],[Dept_Id]], Table3[[#All],[Dept_Id]], 0), 1)</f>
        <v>Development</v>
      </c>
      <c r="R11" s="22" t="str">
        <f>IF(Table1[[#This Row],[Left?]] = 1, (Table1[[#This Row],[New_Last_Date]]-Table1[[#This Row],[New_DoJ]])/365.25, "")</f>
        <v/>
      </c>
      <c r="S11" s="2" cm="1">
        <f t="array" ref="S1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1" s="2" t="str">
        <f>IF(Table1[[#This Row],[New_DoJ]] &gt;= EDATE( MAX(Table1[New_DoJ]), -24), "Yes", "No")</f>
        <v>No</v>
      </c>
    </row>
    <row r="12" spans="1:22" x14ac:dyDescent="0.3">
      <c r="A12" s="4">
        <v>282238</v>
      </c>
      <c r="B12" s="5" t="s">
        <v>60</v>
      </c>
      <c r="C12" s="5" t="s">
        <v>61</v>
      </c>
      <c r="D12" s="5" t="s">
        <v>62</v>
      </c>
      <c r="E12" s="5" t="s">
        <v>33</v>
      </c>
      <c r="F12" s="15">
        <v>33256</v>
      </c>
      <c r="G12" s="5">
        <v>6</v>
      </c>
      <c r="H12" s="5" t="s">
        <v>34</v>
      </c>
      <c r="I12" s="5">
        <v>0</v>
      </c>
      <c r="J12" s="5" t="s">
        <v>24</v>
      </c>
      <c r="K12" s="12">
        <v>40000</v>
      </c>
      <c r="L12" s="5" t="s">
        <v>63</v>
      </c>
      <c r="M12" s="6" t="s">
        <v>20</v>
      </c>
      <c r="N12" s="15">
        <v>19295</v>
      </c>
      <c r="O12" s="15">
        <v>33256</v>
      </c>
      <c r="P12" s="5"/>
      <c r="Q12" s="2" t="str">
        <f>INDEX(Table3[#All], MATCH(Table1[[#This Row],[Dept_Id]], Table3[[#All],[Dept_Id]], 0), 1)</f>
        <v>Quality Management</v>
      </c>
      <c r="R12" s="22" t="str">
        <f>IF(Table1[[#This Row],[Left?]] = 1, (Table1[[#This Row],[New_Last_Date]]-Table1[[#This Row],[New_DoJ]])/365.25, "")</f>
        <v/>
      </c>
      <c r="S12" s="2" cm="1">
        <f t="array" ref="S1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2" s="2" t="str">
        <f>IF(Table1[[#This Row],[New_DoJ]] &gt;= EDATE( MAX(Table1[New_DoJ]), -24), "Yes", "No")</f>
        <v>No</v>
      </c>
    </row>
    <row r="13" spans="1:22" x14ac:dyDescent="0.3">
      <c r="A13" s="4">
        <v>10009</v>
      </c>
      <c r="B13" s="5" t="s">
        <v>64</v>
      </c>
      <c r="C13" s="5" t="s">
        <v>65</v>
      </c>
      <c r="D13" s="5" t="s">
        <v>66</v>
      </c>
      <c r="E13" s="5" t="s">
        <v>33</v>
      </c>
      <c r="F13" s="15">
        <v>31096</v>
      </c>
      <c r="G13" s="5">
        <v>8</v>
      </c>
      <c r="H13" s="5" t="s">
        <v>34</v>
      </c>
      <c r="I13" s="5">
        <v>0</v>
      </c>
      <c r="J13" s="5" t="s">
        <v>24</v>
      </c>
      <c r="K13" s="12">
        <v>60929</v>
      </c>
      <c r="L13" s="5" t="s">
        <v>63</v>
      </c>
      <c r="M13" s="6" t="s">
        <v>20</v>
      </c>
      <c r="N13" s="15">
        <v>19103</v>
      </c>
      <c r="O13" s="15">
        <v>31096</v>
      </c>
      <c r="P13" s="5"/>
      <c r="Q13" s="2" t="str">
        <f>INDEX(Table3[#All], MATCH(Table1[[#This Row],[Dept_Id]], Table3[[#All],[Dept_Id]], 0), 1)</f>
        <v>Quality Management</v>
      </c>
      <c r="R13" s="22" t="str">
        <f>IF(Table1[[#This Row],[Left?]] = 1, (Table1[[#This Row],[New_Last_Date]]-Table1[[#This Row],[New_DoJ]])/365.25, "")</f>
        <v/>
      </c>
      <c r="S13" s="2" cm="1">
        <f t="array" ref="S1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3" s="2" t="str">
        <f>IF(Table1[[#This Row],[New_DoJ]] &gt;= EDATE( MAX(Table1[New_DoJ]), -24), "Yes", "No")</f>
        <v>No</v>
      </c>
    </row>
    <row r="14" spans="1:22" x14ac:dyDescent="0.3">
      <c r="A14" s="4">
        <v>10010</v>
      </c>
      <c r="B14" s="5" t="s">
        <v>67</v>
      </c>
      <c r="C14" s="5" t="s">
        <v>68</v>
      </c>
      <c r="D14" s="5" t="s">
        <v>69</v>
      </c>
      <c r="E14" s="5" t="s">
        <v>33</v>
      </c>
      <c r="F14" s="15">
        <v>32744</v>
      </c>
      <c r="G14" s="5">
        <v>4</v>
      </c>
      <c r="H14" s="5" t="s">
        <v>29</v>
      </c>
      <c r="I14" s="5">
        <v>0</v>
      </c>
      <c r="J14" s="5" t="s">
        <v>24</v>
      </c>
      <c r="K14" s="12">
        <v>72488</v>
      </c>
      <c r="L14" s="5" t="s">
        <v>25</v>
      </c>
      <c r="M14" s="6" t="s">
        <v>50</v>
      </c>
      <c r="N14" s="15">
        <v>23163</v>
      </c>
      <c r="O14" s="15">
        <v>32744</v>
      </c>
      <c r="P14" s="5"/>
      <c r="Q14" s="2" t="str">
        <f>INDEX(Table3[#All], MATCH(Table1[[#This Row],[Dept_Id]], Table3[[#All],[Dept_Id]], 0), 1)</f>
        <v>Production</v>
      </c>
      <c r="R14" s="22" t="str">
        <f>IF(Table1[[#This Row],[Left?]] = 1, (Table1[[#This Row],[New_Last_Date]]-Table1[[#This Row],[New_DoJ]])/365.25, "")</f>
        <v/>
      </c>
      <c r="S14" s="2" cm="1">
        <f t="array" ref="S1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4" s="2" t="str">
        <f>IF(Table1[[#This Row],[New_DoJ]] &gt;= EDATE( MAX(Table1[New_DoJ]), -24), "Yes", "No")</f>
        <v>No</v>
      </c>
    </row>
    <row r="15" spans="1:22" x14ac:dyDescent="0.3">
      <c r="A15" s="4">
        <v>10010</v>
      </c>
      <c r="B15" s="5" t="s">
        <v>67</v>
      </c>
      <c r="C15" s="5" t="s">
        <v>68</v>
      </c>
      <c r="D15" s="5" t="s">
        <v>69</v>
      </c>
      <c r="E15" s="5" t="s">
        <v>33</v>
      </c>
      <c r="F15" s="15">
        <v>32744</v>
      </c>
      <c r="G15" s="5">
        <v>4</v>
      </c>
      <c r="H15" s="5" t="s">
        <v>29</v>
      </c>
      <c r="I15" s="5">
        <v>0</v>
      </c>
      <c r="J15" s="5" t="s">
        <v>24</v>
      </c>
      <c r="K15" s="12">
        <v>72488</v>
      </c>
      <c r="L15" s="5" t="s">
        <v>63</v>
      </c>
      <c r="M15" s="6" t="s">
        <v>50</v>
      </c>
      <c r="N15" s="15">
        <v>23163</v>
      </c>
      <c r="O15" s="15">
        <v>32744</v>
      </c>
      <c r="P15" s="5"/>
      <c r="Q15" s="2" t="str">
        <f>INDEX(Table3[#All], MATCH(Table1[[#This Row],[Dept_Id]], Table3[[#All],[Dept_Id]], 0), 1)</f>
        <v>Quality Management</v>
      </c>
      <c r="R15" s="22" t="str">
        <f>IF(Table1[[#This Row],[Left?]] = 1, (Table1[[#This Row],[New_Last_Date]]-Table1[[#This Row],[New_DoJ]])/365.25, "")</f>
        <v/>
      </c>
      <c r="S15" s="2" cm="1">
        <f t="array" ref="S1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5" s="2" t="str">
        <f>IF(Table1[[#This Row],[New_DoJ]] &gt;= EDATE( MAX(Table1[New_DoJ]), -24), "Yes", "No")</f>
        <v>No</v>
      </c>
    </row>
    <row r="16" spans="1:22" x14ac:dyDescent="0.3">
      <c r="A16" s="4">
        <v>263976</v>
      </c>
      <c r="B16" s="5" t="s">
        <v>70</v>
      </c>
      <c r="C16" s="5" t="s">
        <v>71</v>
      </c>
      <c r="D16" s="5" t="s">
        <v>72</v>
      </c>
      <c r="E16" s="5" t="s">
        <v>16</v>
      </c>
      <c r="F16" s="15">
        <v>31730</v>
      </c>
      <c r="G16" s="5">
        <v>8</v>
      </c>
      <c r="H16" s="5" t="s">
        <v>34</v>
      </c>
      <c r="I16" s="5">
        <v>1</v>
      </c>
      <c r="J16" s="5" t="s">
        <v>73</v>
      </c>
      <c r="K16" s="12">
        <v>40000</v>
      </c>
      <c r="L16" s="5" t="s">
        <v>63</v>
      </c>
      <c r="M16" s="6" t="s">
        <v>20</v>
      </c>
      <c r="N16" s="15">
        <v>21853</v>
      </c>
      <c r="O16" s="15">
        <v>31730</v>
      </c>
      <c r="P16" s="15">
        <v>34202</v>
      </c>
      <c r="Q16" s="2" t="str">
        <f>INDEX(Table3[#All], MATCH(Table1[[#This Row],[Dept_Id]], Table3[[#All],[Dept_Id]], 0), 1)</f>
        <v>Quality Management</v>
      </c>
      <c r="R16" s="22">
        <f>IF(Table1[[#This Row],[Left?]] = 1, (Table1[[#This Row],[New_Last_Date]]-Table1[[#This Row],[New_DoJ]])/365.25, "")</f>
        <v>6.7679671457905544</v>
      </c>
      <c r="S16" s="2" cm="1">
        <f t="array" ref="S1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6" s="2" t="str">
        <f>IF(Table1[[#This Row],[New_DoJ]] &gt;= EDATE( MAX(Table1[New_DoJ]), -24), "Yes", "No")</f>
        <v>No</v>
      </c>
    </row>
    <row r="17" spans="1:20" x14ac:dyDescent="0.3">
      <c r="A17" s="4">
        <v>10011</v>
      </c>
      <c r="B17" s="5" t="s">
        <v>74</v>
      </c>
      <c r="C17" s="5" t="s">
        <v>75</v>
      </c>
      <c r="D17" s="5" t="s">
        <v>76</v>
      </c>
      <c r="E17" s="5" t="s">
        <v>33</v>
      </c>
      <c r="F17" s="15">
        <v>32895</v>
      </c>
      <c r="G17" s="5">
        <v>6</v>
      </c>
      <c r="H17" s="5" t="s">
        <v>17</v>
      </c>
      <c r="I17" s="5">
        <v>0</v>
      </c>
      <c r="J17" s="5" t="s">
        <v>24</v>
      </c>
      <c r="K17" s="12">
        <v>42365</v>
      </c>
      <c r="L17" s="5" t="s">
        <v>77</v>
      </c>
      <c r="M17" s="6" t="s">
        <v>39</v>
      </c>
      <c r="N17" s="15">
        <v>19670</v>
      </c>
      <c r="O17" s="15">
        <v>32895</v>
      </c>
      <c r="P17" s="5"/>
      <c r="Q17" s="2" t="str">
        <f>INDEX(Table3[#All], MATCH(Table1[[#This Row],[Dept_Id]], Table3[[#All],[Dept_Id]], 0), 1)</f>
        <v>Customer Service</v>
      </c>
      <c r="R17" s="22" t="str">
        <f>IF(Table1[[#This Row],[Left?]] = 1, (Table1[[#This Row],[New_Last_Date]]-Table1[[#This Row],[New_DoJ]])/365.25, "")</f>
        <v/>
      </c>
      <c r="S17" s="2" cm="1">
        <f t="array" ref="S1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7" s="2" t="str">
        <f>IF(Table1[[#This Row],[New_DoJ]] &gt;= EDATE( MAX(Table1[New_DoJ]), -24), "Yes", "No")</f>
        <v>No</v>
      </c>
    </row>
    <row r="18" spans="1:20" x14ac:dyDescent="0.3">
      <c r="A18" s="4">
        <v>273487</v>
      </c>
      <c r="B18" s="5" t="s">
        <v>78</v>
      </c>
      <c r="C18" s="5" t="s">
        <v>79</v>
      </c>
      <c r="D18" s="5" t="s">
        <v>80</v>
      </c>
      <c r="E18" s="5" t="s">
        <v>16</v>
      </c>
      <c r="F18" s="15">
        <v>33417</v>
      </c>
      <c r="G18" s="5">
        <v>10</v>
      </c>
      <c r="H18" s="5" t="s">
        <v>29</v>
      </c>
      <c r="I18" s="5">
        <v>0</v>
      </c>
      <c r="J18" s="5" t="s">
        <v>24</v>
      </c>
      <c r="K18" s="12">
        <v>56087</v>
      </c>
      <c r="L18" s="5" t="s">
        <v>43</v>
      </c>
      <c r="M18" s="6" t="s">
        <v>39</v>
      </c>
      <c r="N18" s="15">
        <v>20924</v>
      </c>
      <c r="O18" s="15">
        <v>33417</v>
      </c>
      <c r="P18" s="5"/>
      <c r="Q18" s="2" t="str">
        <f>INDEX(Table3[#All], MATCH(Table1[[#This Row],[Dept_Id]], Table3[[#All],[Dept_Id]], 0), 1)</f>
        <v>Human Resources</v>
      </c>
      <c r="R18" s="22" t="str">
        <f>IF(Table1[[#This Row],[Left?]] = 1, (Table1[[#This Row],[New_Last_Date]]-Table1[[#This Row],[New_DoJ]])/365.25, "")</f>
        <v/>
      </c>
      <c r="S18" s="2" cm="1">
        <f t="array" ref="S1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8" s="2" t="str">
        <f>IF(Table1[[#This Row],[New_DoJ]] &gt;= EDATE( MAX(Table1[New_DoJ]), -24), "Yes", "No")</f>
        <v>No</v>
      </c>
    </row>
    <row r="19" spans="1:20" x14ac:dyDescent="0.3">
      <c r="A19" s="4">
        <v>10012</v>
      </c>
      <c r="B19" s="5" t="s">
        <v>81</v>
      </c>
      <c r="C19" s="5" t="s">
        <v>82</v>
      </c>
      <c r="D19" s="5" t="s">
        <v>83</v>
      </c>
      <c r="E19" s="5" t="s">
        <v>16</v>
      </c>
      <c r="F19" s="15">
        <v>33956</v>
      </c>
      <c r="G19" s="5">
        <v>3</v>
      </c>
      <c r="H19" s="5" t="s">
        <v>29</v>
      </c>
      <c r="I19" s="5">
        <v>0</v>
      </c>
      <c r="J19" s="5" t="s">
        <v>24</v>
      </c>
      <c r="K19" s="12">
        <v>40000</v>
      </c>
      <c r="L19" s="5" t="s">
        <v>19</v>
      </c>
      <c r="M19" s="6" t="s">
        <v>20</v>
      </c>
      <c r="N19" s="15">
        <v>22193</v>
      </c>
      <c r="O19" s="15">
        <v>33956</v>
      </c>
      <c r="P19" s="5"/>
      <c r="Q19" s="2" t="str">
        <f>INDEX(Table3[#All], MATCH(Table1[[#This Row],[Dept_Id]], Table3[[#All],[Dept_Id]], 0), 1)</f>
        <v>Development</v>
      </c>
      <c r="R19" s="22" t="str">
        <f>IF(Table1[[#This Row],[Left?]] = 1, (Table1[[#This Row],[New_Last_Date]]-Table1[[#This Row],[New_DoJ]])/365.25, "")</f>
        <v/>
      </c>
      <c r="S19" s="2" cm="1">
        <f t="array" ref="S1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9" s="2" t="str">
        <f>IF(Table1[[#This Row],[New_DoJ]] &gt;= EDATE( MAX(Table1[New_DoJ]), -24), "Yes", "No")</f>
        <v>No</v>
      </c>
    </row>
    <row r="20" spans="1:20" x14ac:dyDescent="0.3">
      <c r="A20" s="4">
        <v>10013</v>
      </c>
      <c r="B20" s="5" t="s">
        <v>84</v>
      </c>
      <c r="C20" s="5" t="s">
        <v>85</v>
      </c>
      <c r="D20" s="5" t="s">
        <v>86</v>
      </c>
      <c r="E20" s="5" t="s">
        <v>16</v>
      </c>
      <c r="F20" s="15">
        <v>31340</v>
      </c>
      <c r="G20" s="5">
        <v>6</v>
      </c>
      <c r="H20" s="5" t="s">
        <v>17</v>
      </c>
      <c r="I20" s="5">
        <v>0</v>
      </c>
      <c r="J20" s="5" t="s">
        <v>24</v>
      </c>
      <c r="K20" s="12">
        <v>40000</v>
      </c>
      <c r="L20" s="5" t="s">
        <v>43</v>
      </c>
      <c r="M20" s="6" t="s">
        <v>87</v>
      </c>
      <c r="N20" s="15">
        <v>23169</v>
      </c>
      <c r="O20" s="15">
        <v>31340</v>
      </c>
      <c r="P20" s="5"/>
      <c r="Q20" s="2" t="str">
        <f>INDEX(Table3[#All], MATCH(Table1[[#This Row],[Dept_Id]], Table3[[#All],[Dept_Id]], 0), 1)</f>
        <v>Human Resources</v>
      </c>
      <c r="R20" s="22" t="str">
        <f>IF(Table1[[#This Row],[Left?]] = 1, (Table1[[#This Row],[New_Last_Date]]-Table1[[#This Row],[New_DoJ]])/365.25, "")</f>
        <v/>
      </c>
      <c r="S20" s="2" cm="1">
        <f t="array" ref="S2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0" s="2" t="str">
        <f>IF(Table1[[#This Row],[New_DoJ]] &gt;= EDATE( MAX(Table1[New_DoJ]), -24), "Yes", "No")</f>
        <v>No</v>
      </c>
    </row>
    <row r="21" spans="1:20" x14ac:dyDescent="0.3">
      <c r="A21" s="4">
        <v>461591</v>
      </c>
      <c r="B21" s="5" t="s">
        <v>88</v>
      </c>
      <c r="C21" s="5" t="s">
        <v>89</v>
      </c>
      <c r="D21" s="5" t="s">
        <v>90</v>
      </c>
      <c r="E21" s="5" t="s">
        <v>16</v>
      </c>
      <c r="F21" s="15">
        <v>31364</v>
      </c>
      <c r="G21" s="5">
        <v>2</v>
      </c>
      <c r="H21" s="5" t="s">
        <v>29</v>
      </c>
      <c r="I21" s="5">
        <v>1</v>
      </c>
      <c r="J21" s="5" t="s">
        <v>91</v>
      </c>
      <c r="K21" s="12">
        <v>40000</v>
      </c>
      <c r="L21" s="5" t="s">
        <v>92</v>
      </c>
      <c r="M21" s="6" t="s">
        <v>87</v>
      </c>
      <c r="N21" s="15">
        <v>23698</v>
      </c>
      <c r="O21" s="15">
        <v>31364</v>
      </c>
      <c r="P21" s="15">
        <v>34567</v>
      </c>
      <c r="Q21" s="2" t="str">
        <f>INDEX(Table3[#All], MATCH(Table1[[#This Row],[Dept_Id]], Table3[[#All],[Dept_Id]], 0), 1)</f>
        <v>Finance</v>
      </c>
      <c r="R21" s="22">
        <f>IF(Table1[[#This Row],[Left?]] = 1, (Table1[[#This Row],[New_Last_Date]]-Table1[[#This Row],[New_DoJ]])/365.25, "")</f>
        <v>8.7693360711841208</v>
      </c>
      <c r="S21" s="2" cm="1">
        <f t="array" ref="S2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1" s="2" t="str">
        <f>IF(Table1[[#This Row],[New_DoJ]] &gt;= EDATE( MAX(Table1[New_DoJ]), -24), "Yes", "No")</f>
        <v>No</v>
      </c>
    </row>
    <row r="22" spans="1:20" x14ac:dyDescent="0.3">
      <c r="A22" s="4">
        <v>10014</v>
      </c>
      <c r="B22" s="5" t="s">
        <v>93</v>
      </c>
      <c r="C22" s="5" t="s">
        <v>94</v>
      </c>
      <c r="D22" s="5" t="s">
        <v>95</v>
      </c>
      <c r="E22" s="5" t="s">
        <v>16</v>
      </c>
      <c r="F22" s="15">
        <v>31847</v>
      </c>
      <c r="G22" s="5">
        <v>9</v>
      </c>
      <c r="H22" s="5" t="s">
        <v>34</v>
      </c>
      <c r="I22" s="5">
        <v>0</v>
      </c>
      <c r="J22" s="5" t="s">
        <v>24</v>
      </c>
      <c r="K22" s="12">
        <v>46168</v>
      </c>
      <c r="L22" s="5" t="s">
        <v>19</v>
      </c>
      <c r="M22" s="6" t="s">
        <v>50</v>
      </c>
      <c r="N22" s="15">
        <v>20497</v>
      </c>
      <c r="O22" s="15">
        <v>31847</v>
      </c>
      <c r="P22" s="5"/>
      <c r="Q22" s="2" t="str">
        <f>INDEX(Table3[#All], MATCH(Table1[[#This Row],[Dept_Id]], Table3[[#All],[Dept_Id]], 0), 1)</f>
        <v>Development</v>
      </c>
      <c r="R22" s="22" t="str">
        <f>IF(Table1[[#This Row],[Left?]] = 1, (Table1[[#This Row],[New_Last_Date]]-Table1[[#This Row],[New_DoJ]])/365.25, "")</f>
        <v/>
      </c>
      <c r="S22" s="2" cm="1">
        <f t="array" ref="S2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2" s="2" t="str">
        <f>IF(Table1[[#This Row],[New_DoJ]] &gt;= EDATE( MAX(Table1[New_DoJ]), -24), "Yes", "No")</f>
        <v>No</v>
      </c>
    </row>
    <row r="23" spans="1:20" x14ac:dyDescent="0.3">
      <c r="A23" s="4">
        <v>10015</v>
      </c>
      <c r="B23" s="5" t="s">
        <v>96</v>
      </c>
      <c r="C23" s="5" t="s">
        <v>97</v>
      </c>
      <c r="D23" s="5" t="s">
        <v>98</v>
      </c>
      <c r="E23" s="5" t="s">
        <v>16</v>
      </c>
      <c r="F23" s="15">
        <v>31960</v>
      </c>
      <c r="G23" s="5">
        <v>4</v>
      </c>
      <c r="H23" s="5" t="s">
        <v>34</v>
      </c>
      <c r="I23" s="5">
        <v>0</v>
      </c>
      <c r="J23" s="5" t="s">
        <v>24</v>
      </c>
      <c r="K23" s="12">
        <v>40000</v>
      </c>
      <c r="L23" s="5" t="s">
        <v>55</v>
      </c>
      <c r="M23" s="6" t="s">
        <v>87</v>
      </c>
      <c r="N23" s="15">
        <v>21781</v>
      </c>
      <c r="O23" s="15">
        <v>31960</v>
      </c>
      <c r="P23" s="5"/>
      <c r="Q23" s="2" t="str">
        <f>INDEX(Table3[#All], MATCH(Table1[[#This Row],[Dept_Id]], Table3[[#All],[Dept_Id]], 0), 1)</f>
        <v>Research</v>
      </c>
      <c r="R23" s="22" t="str">
        <f>IF(Table1[[#This Row],[Left?]] = 1, (Table1[[#This Row],[New_Last_Date]]-Table1[[#This Row],[New_DoJ]])/365.25, "")</f>
        <v/>
      </c>
      <c r="S23" s="2" cm="1">
        <f t="array" ref="S2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3" s="2" t="str">
        <f>IF(Table1[[#This Row],[New_DoJ]] &gt;= EDATE( MAX(Table1[New_DoJ]), -24), "Yes", "No")</f>
        <v>No</v>
      </c>
    </row>
    <row r="24" spans="1:20" x14ac:dyDescent="0.3">
      <c r="A24" s="4">
        <v>10016</v>
      </c>
      <c r="B24" s="5" t="s">
        <v>99</v>
      </c>
      <c r="C24" s="5" t="s">
        <v>100</v>
      </c>
      <c r="D24" s="5" t="s">
        <v>101</v>
      </c>
      <c r="E24" s="5" t="s">
        <v>16</v>
      </c>
      <c r="F24" s="15">
        <v>34726</v>
      </c>
      <c r="G24" s="5">
        <v>5</v>
      </c>
      <c r="H24" s="5" t="s">
        <v>17</v>
      </c>
      <c r="I24" s="5">
        <v>0</v>
      </c>
      <c r="J24" s="5" t="s">
        <v>24</v>
      </c>
      <c r="K24" s="12">
        <v>70889</v>
      </c>
      <c r="L24" s="5" t="s">
        <v>38</v>
      </c>
      <c r="M24" s="6" t="s">
        <v>39</v>
      </c>
      <c r="N24" s="15">
        <v>22403</v>
      </c>
      <c r="O24" s="15">
        <v>34726</v>
      </c>
      <c r="P24" s="5"/>
      <c r="Q24" s="2" t="str">
        <f>INDEX(Table3[#All], MATCH(Table1[[#This Row],[Dept_Id]], Table3[[#All],[Dept_Id]], 0), 1)</f>
        <v>Sales</v>
      </c>
      <c r="R24" s="22" t="str">
        <f>IF(Table1[[#This Row],[Left?]] = 1, (Table1[[#This Row],[New_Last_Date]]-Table1[[#This Row],[New_DoJ]])/365.25, "")</f>
        <v/>
      </c>
      <c r="S24" s="2" cm="1">
        <f t="array" ref="S2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4" s="2" t="str">
        <f>IF(Table1[[#This Row],[New_DoJ]] &gt;= EDATE( MAX(Table1[New_DoJ]), -24), "Yes", "No")</f>
        <v>No</v>
      </c>
    </row>
    <row r="25" spans="1:20" x14ac:dyDescent="0.3">
      <c r="A25" s="4">
        <v>10017</v>
      </c>
      <c r="B25" s="5" t="s">
        <v>102</v>
      </c>
      <c r="C25" s="5" t="s">
        <v>103</v>
      </c>
      <c r="D25" s="5" t="s">
        <v>104</v>
      </c>
      <c r="E25" s="5" t="s">
        <v>33</v>
      </c>
      <c r="F25" s="15">
        <v>34184</v>
      </c>
      <c r="G25" s="5">
        <v>10</v>
      </c>
      <c r="H25" s="5" t="s">
        <v>29</v>
      </c>
      <c r="I25" s="5">
        <v>0</v>
      </c>
      <c r="J25" s="5" t="s">
        <v>24</v>
      </c>
      <c r="K25" s="12">
        <v>71380</v>
      </c>
      <c r="L25" s="5" t="s">
        <v>105</v>
      </c>
      <c r="M25" s="6" t="s">
        <v>39</v>
      </c>
      <c r="N25" s="15">
        <v>21372</v>
      </c>
      <c r="O25" s="15">
        <v>34184</v>
      </c>
      <c r="P25" s="5"/>
      <c r="Q25" s="2" t="str">
        <f>INDEX(Table3[#All], MATCH(Table1[[#This Row],[Dept_Id]], Table3[[#All],[Dept_Id]], 0), 1)</f>
        <v>Marketing</v>
      </c>
      <c r="R25" s="22" t="str">
        <f>IF(Table1[[#This Row],[Left?]] = 1, (Table1[[#This Row],[New_Last_Date]]-Table1[[#This Row],[New_DoJ]])/365.25, "")</f>
        <v/>
      </c>
      <c r="S25" s="2" cm="1">
        <f t="array" ref="S2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5" s="2" t="str">
        <f>IF(Table1[[#This Row],[New_DoJ]] &gt;= EDATE( MAX(Table1[New_DoJ]), -24), "Yes", "No")</f>
        <v>No</v>
      </c>
    </row>
    <row r="26" spans="1:20" x14ac:dyDescent="0.3">
      <c r="A26" s="4">
        <v>219881</v>
      </c>
      <c r="B26" s="5" t="s">
        <v>106</v>
      </c>
      <c r="C26" s="5" t="s">
        <v>107</v>
      </c>
      <c r="D26" s="5" t="s">
        <v>108</v>
      </c>
      <c r="E26" s="5" t="s">
        <v>33</v>
      </c>
      <c r="F26" s="15">
        <v>34014</v>
      </c>
      <c r="G26" s="5">
        <v>6</v>
      </c>
      <c r="H26" s="5" t="s">
        <v>34</v>
      </c>
      <c r="I26" s="5">
        <v>0</v>
      </c>
      <c r="J26" s="5" t="s">
        <v>24</v>
      </c>
      <c r="K26" s="12">
        <v>40000</v>
      </c>
      <c r="L26" s="5" t="s">
        <v>77</v>
      </c>
      <c r="M26" s="6" t="s">
        <v>87</v>
      </c>
      <c r="N26" s="15">
        <v>20569</v>
      </c>
      <c r="O26" s="15">
        <v>34014</v>
      </c>
      <c r="P26" s="5"/>
      <c r="Q26" s="2" t="str">
        <f>INDEX(Table3[#All], MATCH(Table1[[#This Row],[Dept_Id]], Table3[[#All],[Dept_Id]], 0), 1)</f>
        <v>Customer Service</v>
      </c>
      <c r="R26" s="22" t="str">
        <f>IF(Table1[[#This Row],[Left?]] = 1, (Table1[[#This Row],[New_Last_Date]]-Table1[[#This Row],[New_DoJ]])/365.25, "")</f>
        <v/>
      </c>
      <c r="S26" s="2" cm="1">
        <f t="array" ref="S2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6" s="2" t="str">
        <f>IF(Table1[[#This Row],[New_DoJ]] &gt;= EDATE( MAX(Table1[New_DoJ]), -24), "Yes", "No")</f>
        <v>No</v>
      </c>
    </row>
    <row r="27" spans="1:20" x14ac:dyDescent="0.3">
      <c r="A27" s="4">
        <v>10018</v>
      </c>
      <c r="B27" s="5" t="s">
        <v>109</v>
      </c>
      <c r="C27" s="5" t="s">
        <v>110</v>
      </c>
      <c r="D27" s="5" t="s">
        <v>111</v>
      </c>
      <c r="E27" s="5" t="s">
        <v>33</v>
      </c>
      <c r="F27" s="15">
        <v>31870</v>
      </c>
      <c r="G27" s="5">
        <v>4</v>
      </c>
      <c r="H27" s="5" t="s">
        <v>34</v>
      </c>
      <c r="I27" s="5">
        <v>0</v>
      </c>
      <c r="J27" s="5" t="s">
        <v>24</v>
      </c>
      <c r="K27" s="12">
        <v>55881</v>
      </c>
      <c r="L27" s="5" t="s">
        <v>25</v>
      </c>
      <c r="M27" s="6" t="s">
        <v>20</v>
      </c>
      <c r="N27" s="15">
        <v>19894</v>
      </c>
      <c r="O27" s="15">
        <v>31870</v>
      </c>
      <c r="P27" s="5"/>
      <c r="Q27" s="2" t="str">
        <f>INDEX(Table3[#All], MATCH(Table1[[#This Row],[Dept_Id]], Table3[[#All],[Dept_Id]], 0), 1)</f>
        <v>Production</v>
      </c>
      <c r="R27" s="22" t="str">
        <f>IF(Table1[[#This Row],[Left?]] = 1, (Table1[[#This Row],[New_Last_Date]]-Table1[[#This Row],[New_DoJ]])/365.25, "")</f>
        <v/>
      </c>
      <c r="S27" s="2" cm="1">
        <f t="array" ref="S2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7" s="2" t="str">
        <f>IF(Table1[[#This Row],[New_DoJ]] &gt;= EDATE( MAX(Table1[New_DoJ]), -24), "Yes", "No")</f>
        <v>No</v>
      </c>
    </row>
    <row r="28" spans="1:20" x14ac:dyDescent="0.3">
      <c r="A28" s="4">
        <v>10018</v>
      </c>
      <c r="B28" s="5" t="s">
        <v>109</v>
      </c>
      <c r="C28" s="5" t="s">
        <v>110</v>
      </c>
      <c r="D28" s="5" t="s">
        <v>111</v>
      </c>
      <c r="E28" s="5" t="s">
        <v>33</v>
      </c>
      <c r="F28" s="15">
        <v>31870</v>
      </c>
      <c r="G28" s="5">
        <v>4</v>
      </c>
      <c r="H28" s="5" t="s">
        <v>34</v>
      </c>
      <c r="I28" s="5">
        <v>0</v>
      </c>
      <c r="J28" s="5" t="s">
        <v>24</v>
      </c>
      <c r="K28" s="12">
        <v>55881</v>
      </c>
      <c r="L28" s="5" t="s">
        <v>19</v>
      </c>
      <c r="M28" s="6" t="s">
        <v>20</v>
      </c>
      <c r="N28" s="15">
        <v>19894</v>
      </c>
      <c r="O28" s="15">
        <v>31870</v>
      </c>
      <c r="P28" s="5"/>
      <c r="Q28" s="2" t="str">
        <f>INDEX(Table3[#All], MATCH(Table1[[#This Row],[Dept_Id]], Table3[[#All],[Dept_Id]], 0), 1)</f>
        <v>Development</v>
      </c>
      <c r="R28" s="22" t="str">
        <f>IF(Table1[[#This Row],[Left?]] = 1, (Table1[[#This Row],[New_Last_Date]]-Table1[[#This Row],[New_DoJ]])/365.25, "")</f>
        <v/>
      </c>
      <c r="S28" s="2" cm="1">
        <f t="array" ref="S2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8" s="2" t="str">
        <f>IF(Table1[[#This Row],[New_DoJ]] &gt;= EDATE( MAX(Table1[New_DoJ]), -24), "Yes", "No")</f>
        <v>No</v>
      </c>
    </row>
    <row r="29" spans="1:20" x14ac:dyDescent="0.3">
      <c r="A29" s="4">
        <v>29920</v>
      </c>
      <c r="B29" s="5" t="s">
        <v>112</v>
      </c>
      <c r="C29" s="5" t="s">
        <v>113</v>
      </c>
      <c r="D29" s="5" t="s">
        <v>114</v>
      </c>
      <c r="E29" s="5" t="s">
        <v>33</v>
      </c>
      <c r="F29" s="15">
        <v>34716</v>
      </c>
      <c r="G29" s="5">
        <v>1</v>
      </c>
      <c r="H29" s="5" t="s">
        <v>115</v>
      </c>
      <c r="I29" s="5">
        <v>0</v>
      </c>
      <c r="J29" s="5" t="s">
        <v>24</v>
      </c>
      <c r="K29" s="12">
        <v>40000</v>
      </c>
      <c r="L29" s="5" t="s">
        <v>25</v>
      </c>
      <c r="M29" s="6" t="s">
        <v>50</v>
      </c>
      <c r="N29" s="15">
        <v>22646</v>
      </c>
      <c r="O29" s="15">
        <v>34716</v>
      </c>
      <c r="P29" s="5"/>
      <c r="Q29" s="2" t="str">
        <f>INDEX(Table3[#All], MATCH(Table1[[#This Row],[Dept_Id]], Table3[[#All],[Dept_Id]], 0), 1)</f>
        <v>Production</v>
      </c>
      <c r="R29" s="22" t="str">
        <f>IF(Table1[[#This Row],[Left?]] = 1, (Table1[[#This Row],[New_Last_Date]]-Table1[[#This Row],[New_DoJ]])/365.25, "")</f>
        <v/>
      </c>
      <c r="S29" s="2" cm="1">
        <f t="array" ref="S2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29" s="2" t="str">
        <f>IF(Table1[[#This Row],[New_DoJ]] &gt;= EDATE( MAX(Table1[New_DoJ]), -24), "Yes", "No")</f>
        <v>No</v>
      </c>
    </row>
    <row r="30" spans="1:20" x14ac:dyDescent="0.3">
      <c r="A30" s="4">
        <v>10019</v>
      </c>
      <c r="B30" s="5" t="s">
        <v>116</v>
      </c>
      <c r="C30" s="5" t="s">
        <v>117</v>
      </c>
      <c r="D30" s="5" t="s">
        <v>118</v>
      </c>
      <c r="E30" s="5" t="s">
        <v>16</v>
      </c>
      <c r="F30" s="15">
        <v>36280</v>
      </c>
      <c r="G30" s="5">
        <v>4</v>
      </c>
      <c r="H30" s="5" t="s">
        <v>34</v>
      </c>
      <c r="I30" s="5">
        <v>0</v>
      </c>
      <c r="J30" s="5" t="s">
        <v>24</v>
      </c>
      <c r="K30" s="12">
        <v>44276</v>
      </c>
      <c r="L30" s="5" t="s">
        <v>55</v>
      </c>
      <c r="M30" s="6" t="s">
        <v>39</v>
      </c>
      <c r="N30" s="15">
        <v>19382</v>
      </c>
      <c r="O30" s="15">
        <v>36280</v>
      </c>
      <c r="P30" s="5"/>
      <c r="Q30" s="2" t="str">
        <f>INDEX(Table3[#All], MATCH(Table1[[#This Row],[Dept_Id]], Table3[[#All],[Dept_Id]], 0), 1)</f>
        <v>Research</v>
      </c>
      <c r="R30" s="22" t="str">
        <f>IF(Table1[[#This Row],[Left?]] = 1, (Table1[[#This Row],[New_Last_Date]]-Table1[[#This Row],[New_DoJ]])/365.25, "")</f>
        <v/>
      </c>
      <c r="S30" s="2" cm="1">
        <f t="array" ref="S3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0" s="2" t="str">
        <f>IF(Table1[[#This Row],[New_DoJ]] &gt;= EDATE( MAX(Table1[New_DoJ]), -24), "Yes", "No")</f>
        <v>Yes</v>
      </c>
    </row>
    <row r="31" spans="1:20" x14ac:dyDescent="0.3">
      <c r="A31" s="4">
        <v>10020</v>
      </c>
      <c r="B31" s="5" t="s">
        <v>119</v>
      </c>
      <c r="C31" s="5" t="s">
        <v>120</v>
      </c>
      <c r="D31" s="5" t="s">
        <v>121</v>
      </c>
      <c r="E31" s="5" t="s">
        <v>16</v>
      </c>
      <c r="F31" s="15">
        <v>33264</v>
      </c>
      <c r="G31" s="5">
        <v>7</v>
      </c>
      <c r="H31" s="5" t="s">
        <v>34</v>
      </c>
      <c r="I31" s="5">
        <v>0</v>
      </c>
      <c r="J31" s="5" t="s">
        <v>24</v>
      </c>
      <c r="K31" s="12">
        <v>40000</v>
      </c>
      <c r="L31" s="5" t="s">
        <v>25</v>
      </c>
      <c r="M31" s="6" t="s">
        <v>50</v>
      </c>
      <c r="N31" s="15">
        <v>19352</v>
      </c>
      <c r="O31" s="15">
        <v>33264</v>
      </c>
      <c r="P31" s="5"/>
      <c r="Q31" s="2" t="str">
        <f>INDEX(Table3[#All], MATCH(Table1[[#This Row],[Dept_Id]], Table3[[#All],[Dept_Id]], 0), 1)</f>
        <v>Production</v>
      </c>
      <c r="R31" s="22" t="str">
        <f>IF(Table1[[#This Row],[Left?]] = 1, (Table1[[#This Row],[New_Last_Date]]-Table1[[#This Row],[New_DoJ]])/365.25, "")</f>
        <v/>
      </c>
      <c r="S31" s="2" cm="1">
        <f t="array" ref="S3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1" s="2" t="str">
        <f>IF(Table1[[#This Row],[New_DoJ]] &gt;= EDATE( MAX(Table1[New_DoJ]), -24), "Yes", "No")</f>
        <v>No</v>
      </c>
    </row>
    <row r="32" spans="1:20" x14ac:dyDescent="0.3">
      <c r="A32" s="4">
        <v>208153</v>
      </c>
      <c r="B32" s="5" t="s">
        <v>122</v>
      </c>
      <c r="C32" s="5" t="s">
        <v>123</v>
      </c>
      <c r="D32" s="5" t="s">
        <v>124</v>
      </c>
      <c r="E32" s="5" t="s">
        <v>16</v>
      </c>
      <c r="F32" s="15">
        <v>32606</v>
      </c>
      <c r="G32" s="5">
        <v>8</v>
      </c>
      <c r="H32" s="5" t="s">
        <v>17</v>
      </c>
      <c r="I32" s="5">
        <v>1</v>
      </c>
      <c r="J32" s="5" t="s">
        <v>125</v>
      </c>
      <c r="K32" s="12">
        <v>50183</v>
      </c>
      <c r="L32" s="5" t="s">
        <v>19</v>
      </c>
      <c r="M32" s="6" t="s">
        <v>20</v>
      </c>
      <c r="N32" s="15">
        <v>22579</v>
      </c>
      <c r="O32" s="15">
        <v>32606</v>
      </c>
      <c r="P32" s="15">
        <v>36740</v>
      </c>
      <c r="Q32" s="2" t="str">
        <f>INDEX(Table3[#All], MATCH(Table1[[#This Row],[Dept_Id]], Table3[[#All],[Dept_Id]], 0), 1)</f>
        <v>Development</v>
      </c>
      <c r="R32" s="22">
        <f>IF(Table1[[#This Row],[Left?]] = 1, (Table1[[#This Row],[New_Last_Date]]-Table1[[#This Row],[New_DoJ]])/365.25, "")</f>
        <v>11.318275154004107</v>
      </c>
      <c r="S32" s="2" cm="1">
        <f t="array" ref="S3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2" s="2" t="str">
        <f>IF(Table1[[#This Row],[New_DoJ]] &gt;= EDATE( MAX(Table1[New_DoJ]), -24), "Yes", "No")</f>
        <v>No</v>
      </c>
    </row>
    <row r="33" spans="1:20" x14ac:dyDescent="0.3">
      <c r="A33" s="4">
        <v>10021</v>
      </c>
      <c r="B33" s="5" t="s">
        <v>126</v>
      </c>
      <c r="C33" s="5" t="s">
        <v>127</v>
      </c>
      <c r="D33" s="5" t="s">
        <v>128</v>
      </c>
      <c r="E33" s="5" t="s">
        <v>16</v>
      </c>
      <c r="F33" s="15">
        <v>32183</v>
      </c>
      <c r="G33" s="5">
        <v>1</v>
      </c>
      <c r="H33" s="5" t="s">
        <v>34</v>
      </c>
      <c r="I33" s="5">
        <v>0</v>
      </c>
      <c r="J33" s="5" t="s">
        <v>24</v>
      </c>
      <c r="K33" s="12">
        <v>55025</v>
      </c>
      <c r="L33" s="5" t="s">
        <v>19</v>
      </c>
      <c r="M33" s="6" t="s">
        <v>129</v>
      </c>
      <c r="N33" s="15">
        <v>21966</v>
      </c>
      <c r="O33" s="15">
        <v>32183</v>
      </c>
      <c r="P33" s="5"/>
      <c r="Q33" s="2" t="str">
        <f>INDEX(Table3[#All], MATCH(Table1[[#This Row],[Dept_Id]], Table3[[#All],[Dept_Id]], 0), 1)</f>
        <v>Development</v>
      </c>
      <c r="R33" s="22" t="str">
        <f>IF(Table1[[#This Row],[Left?]] = 1, (Table1[[#This Row],[New_Last_Date]]-Table1[[#This Row],[New_DoJ]])/365.25, "")</f>
        <v/>
      </c>
      <c r="S33" s="2" cm="1">
        <f t="array" ref="S3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3" s="2" t="str">
        <f>IF(Table1[[#This Row],[New_DoJ]] &gt;= EDATE( MAX(Table1[New_DoJ]), -24), "Yes", "No")</f>
        <v>No</v>
      </c>
    </row>
    <row r="34" spans="1:20" x14ac:dyDescent="0.3">
      <c r="A34" s="4">
        <v>10022</v>
      </c>
      <c r="B34" s="5" t="s">
        <v>130</v>
      </c>
      <c r="C34" s="5" t="s">
        <v>131</v>
      </c>
      <c r="D34" s="5" t="s">
        <v>132</v>
      </c>
      <c r="E34" s="5" t="s">
        <v>16</v>
      </c>
      <c r="F34" s="15">
        <v>34933</v>
      </c>
      <c r="G34" s="5">
        <v>9</v>
      </c>
      <c r="H34" s="5" t="s">
        <v>34</v>
      </c>
      <c r="I34" s="5">
        <v>1</v>
      </c>
      <c r="J34" s="5" t="s">
        <v>133</v>
      </c>
      <c r="K34" s="12">
        <v>40000</v>
      </c>
      <c r="L34" s="5" t="s">
        <v>19</v>
      </c>
      <c r="M34" s="6" t="s">
        <v>50</v>
      </c>
      <c r="N34" s="15">
        <v>19183</v>
      </c>
      <c r="O34" s="15">
        <v>34933</v>
      </c>
      <c r="P34" s="15">
        <v>38660</v>
      </c>
      <c r="Q34" s="2" t="str">
        <f>INDEX(Table3[#All], MATCH(Table1[[#This Row],[Dept_Id]], Table3[[#All],[Dept_Id]], 0), 1)</f>
        <v>Development</v>
      </c>
      <c r="R34" s="22">
        <f>IF(Table1[[#This Row],[Left?]] = 1, (Table1[[#This Row],[New_Last_Date]]-Table1[[#This Row],[New_DoJ]])/365.25, "")</f>
        <v>10.203969883641342</v>
      </c>
      <c r="S34" s="2" cm="1">
        <f t="array" ref="S3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4" s="2" t="str">
        <f>IF(Table1[[#This Row],[New_DoJ]] &gt;= EDATE( MAX(Table1[New_DoJ]), -24), "Yes", "No")</f>
        <v>No</v>
      </c>
    </row>
    <row r="35" spans="1:20" x14ac:dyDescent="0.3">
      <c r="A35" s="4">
        <v>13616</v>
      </c>
      <c r="B35" s="5" t="s">
        <v>134</v>
      </c>
      <c r="C35" s="5" t="s">
        <v>135</v>
      </c>
      <c r="D35" s="5" t="s">
        <v>136</v>
      </c>
      <c r="E35" s="5" t="s">
        <v>33</v>
      </c>
      <c r="F35" s="15">
        <v>33453</v>
      </c>
      <c r="G35" s="5">
        <v>7</v>
      </c>
      <c r="H35" s="5" t="s">
        <v>17</v>
      </c>
      <c r="I35" s="5">
        <v>0</v>
      </c>
      <c r="J35" s="5" t="s">
        <v>24</v>
      </c>
      <c r="K35" s="12">
        <v>40000</v>
      </c>
      <c r="L35" s="5" t="s">
        <v>19</v>
      </c>
      <c r="M35" s="6" t="s">
        <v>20</v>
      </c>
      <c r="N35" s="15">
        <v>22523</v>
      </c>
      <c r="O35" s="15">
        <v>33453</v>
      </c>
      <c r="P35" s="5"/>
      <c r="Q35" s="2" t="str">
        <f>INDEX(Table3[#All], MATCH(Table1[[#This Row],[Dept_Id]], Table3[[#All],[Dept_Id]], 0), 1)</f>
        <v>Development</v>
      </c>
      <c r="R35" s="22" t="str">
        <f>IF(Table1[[#This Row],[Left?]] = 1, (Table1[[#This Row],[New_Last_Date]]-Table1[[#This Row],[New_DoJ]])/365.25, "")</f>
        <v/>
      </c>
      <c r="S35" s="2" cm="1">
        <f t="array" ref="S3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5" s="2" t="str">
        <f>IF(Table1[[#This Row],[New_DoJ]] &gt;= EDATE( MAX(Table1[New_DoJ]), -24), "Yes", "No")</f>
        <v>No</v>
      </c>
    </row>
    <row r="36" spans="1:20" x14ac:dyDescent="0.3">
      <c r="A36" s="4">
        <v>13616</v>
      </c>
      <c r="B36" s="5" t="s">
        <v>134</v>
      </c>
      <c r="C36" s="5" t="s">
        <v>135</v>
      </c>
      <c r="D36" s="5" t="s">
        <v>136</v>
      </c>
      <c r="E36" s="5" t="s">
        <v>33</v>
      </c>
      <c r="F36" s="15">
        <v>33453</v>
      </c>
      <c r="G36" s="5">
        <v>7</v>
      </c>
      <c r="H36" s="5" t="s">
        <v>17</v>
      </c>
      <c r="I36" s="5">
        <v>0</v>
      </c>
      <c r="J36" s="5" t="s">
        <v>24</v>
      </c>
      <c r="K36" s="12">
        <v>40000</v>
      </c>
      <c r="L36" s="5" t="s">
        <v>55</v>
      </c>
      <c r="M36" s="6" t="s">
        <v>20</v>
      </c>
      <c r="N36" s="15">
        <v>22523</v>
      </c>
      <c r="O36" s="15">
        <v>33453</v>
      </c>
      <c r="P36" s="5"/>
      <c r="Q36" s="2" t="str">
        <f>INDEX(Table3[#All], MATCH(Table1[[#This Row],[Dept_Id]], Table3[[#All],[Dept_Id]], 0), 1)</f>
        <v>Research</v>
      </c>
      <c r="R36" s="22" t="str">
        <f>IF(Table1[[#This Row],[Left?]] = 1, (Table1[[#This Row],[New_Last_Date]]-Table1[[#This Row],[New_DoJ]])/365.25, "")</f>
        <v/>
      </c>
      <c r="S36" s="2" cm="1">
        <f t="array" ref="S3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6" s="2" t="str">
        <f>IF(Table1[[#This Row],[New_DoJ]] &gt;= EDATE( MAX(Table1[New_DoJ]), -24), "Yes", "No")</f>
        <v>No</v>
      </c>
    </row>
    <row r="37" spans="1:20" x14ac:dyDescent="0.3">
      <c r="A37" s="4">
        <v>10023</v>
      </c>
      <c r="B37" s="5" t="s">
        <v>137</v>
      </c>
      <c r="C37" s="5" t="s">
        <v>138</v>
      </c>
      <c r="D37" s="5" t="s">
        <v>139</v>
      </c>
      <c r="E37" s="5" t="s">
        <v>33</v>
      </c>
      <c r="F37" s="15">
        <v>32859</v>
      </c>
      <c r="G37" s="5">
        <v>8</v>
      </c>
      <c r="H37" s="5" t="s">
        <v>29</v>
      </c>
      <c r="I37" s="5">
        <v>0</v>
      </c>
      <c r="J37" s="5" t="s">
        <v>24</v>
      </c>
      <c r="K37" s="12">
        <v>47883</v>
      </c>
      <c r="L37" s="5" t="s">
        <v>19</v>
      </c>
      <c r="M37" s="6" t="s">
        <v>50</v>
      </c>
      <c r="N37" s="15">
        <v>19631</v>
      </c>
      <c r="O37" s="15">
        <v>32859</v>
      </c>
      <c r="P37" s="5"/>
      <c r="Q37" s="2" t="str">
        <f>INDEX(Table3[#All], MATCH(Table1[[#This Row],[Dept_Id]], Table3[[#All],[Dept_Id]], 0), 1)</f>
        <v>Development</v>
      </c>
      <c r="R37" s="22" t="str">
        <f>IF(Table1[[#This Row],[Left?]] = 1, (Table1[[#This Row],[New_Last_Date]]-Table1[[#This Row],[New_DoJ]])/365.25, "")</f>
        <v/>
      </c>
      <c r="S37" s="2" cm="1">
        <f t="array" ref="S3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7" s="2" t="str">
        <f>IF(Table1[[#This Row],[New_DoJ]] &gt;= EDATE( MAX(Table1[New_DoJ]), -24), "Yes", "No")</f>
        <v>No</v>
      </c>
    </row>
    <row r="38" spans="1:20" x14ac:dyDescent="0.3">
      <c r="A38" s="4">
        <v>10024</v>
      </c>
      <c r="B38" s="5" t="s">
        <v>140</v>
      </c>
      <c r="C38" s="5" t="s">
        <v>141</v>
      </c>
      <c r="D38" s="5" t="s">
        <v>142</v>
      </c>
      <c r="E38" s="5" t="s">
        <v>33</v>
      </c>
      <c r="F38" s="15">
        <v>35569</v>
      </c>
      <c r="G38" s="5">
        <v>3</v>
      </c>
      <c r="H38" s="5" t="s">
        <v>29</v>
      </c>
      <c r="I38" s="5">
        <v>0</v>
      </c>
      <c r="J38" s="5" t="s">
        <v>24</v>
      </c>
      <c r="K38" s="12">
        <v>83733</v>
      </c>
      <c r="L38" s="5" t="s">
        <v>25</v>
      </c>
      <c r="M38" s="6" t="s">
        <v>59</v>
      </c>
      <c r="N38" s="15">
        <v>21433</v>
      </c>
      <c r="O38" s="15">
        <v>35569</v>
      </c>
      <c r="P38" s="5"/>
      <c r="Q38" s="2" t="str">
        <f>INDEX(Table3[#All], MATCH(Table1[[#This Row],[Dept_Id]], Table3[[#All],[Dept_Id]], 0), 1)</f>
        <v>Production</v>
      </c>
      <c r="R38" s="22" t="str">
        <f>IF(Table1[[#This Row],[Left?]] = 1, (Table1[[#This Row],[New_Last_Date]]-Table1[[#This Row],[New_DoJ]])/365.25, "")</f>
        <v/>
      </c>
      <c r="S38" s="2" cm="1">
        <f t="array" ref="S3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8" s="2" t="str">
        <f>IF(Table1[[#This Row],[New_DoJ]] &gt;= EDATE( MAX(Table1[New_DoJ]), -24), "Yes", "No")</f>
        <v>No</v>
      </c>
    </row>
    <row r="39" spans="1:20" x14ac:dyDescent="0.3">
      <c r="A39" s="4">
        <v>246449</v>
      </c>
      <c r="B39" s="5" t="s">
        <v>143</v>
      </c>
      <c r="C39" s="5" t="s">
        <v>144</v>
      </c>
      <c r="D39" s="5" t="s">
        <v>145</v>
      </c>
      <c r="E39" s="5" t="s">
        <v>33</v>
      </c>
      <c r="F39" s="15">
        <v>32227</v>
      </c>
      <c r="G39" s="5">
        <v>9</v>
      </c>
      <c r="H39" s="5" t="s">
        <v>17</v>
      </c>
      <c r="I39" s="5">
        <v>0</v>
      </c>
      <c r="J39" s="5" t="s">
        <v>24</v>
      </c>
      <c r="K39" s="12">
        <v>87084</v>
      </c>
      <c r="L39" s="5" t="s">
        <v>38</v>
      </c>
      <c r="M39" s="6" t="s">
        <v>39</v>
      </c>
      <c r="N39" s="15">
        <v>21267</v>
      </c>
      <c r="O39" s="15">
        <v>32227</v>
      </c>
      <c r="P39" s="5"/>
      <c r="Q39" s="2" t="str">
        <f>INDEX(Table3[#All], MATCH(Table1[[#This Row],[Dept_Id]], Table3[[#All],[Dept_Id]], 0), 1)</f>
        <v>Sales</v>
      </c>
      <c r="R39" s="22" t="str">
        <f>IF(Table1[[#This Row],[Left?]] = 1, (Table1[[#This Row],[New_Last_Date]]-Table1[[#This Row],[New_DoJ]])/365.25, "")</f>
        <v/>
      </c>
      <c r="S39" s="2" cm="1">
        <f t="array" ref="S3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9" s="2" t="str">
        <f>IF(Table1[[#This Row],[New_DoJ]] &gt;= EDATE( MAX(Table1[New_DoJ]), -24), "Yes", "No")</f>
        <v>No</v>
      </c>
    </row>
    <row r="40" spans="1:20" x14ac:dyDescent="0.3">
      <c r="A40" s="4">
        <v>10025</v>
      </c>
      <c r="B40" s="5" t="s">
        <v>146</v>
      </c>
      <c r="C40" s="5" t="s">
        <v>147</v>
      </c>
      <c r="D40" s="5" t="s">
        <v>148</v>
      </c>
      <c r="E40" s="5" t="s">
        <v>16</v>
      </c>
      <c r="F40" s="15">
        <v>32006</v>
      </c>
      <c r="G40" s="5">
        <v>6</v>
      </c>
      <c r="H40" s="5" t="s">
        <v>17</v>
      </c>
      <c r="I40" s="5">
        <v>0</v>
      </c>
      <c r="J40" s="5" t="s">
        <v>24</v>
      </c>
      <c r="K40" s="12">
        <v>40000</v>
      </c>
      <c r="L40" s="5" t="s">
        <v>19</v>
      </c>
      <c r="M40" s="6" t="s">
        <v>129</v>
      </c>
      <c r="N40" s="15">
        <v>21489</v>
      </c>
      <c r="O40" s="15">
        <v>32006</v>
      </c>
      <c r="P40" s="5"/>
      <c r="Q40" s="2" t="str">
        <f>INDEX(Table3[#All], MATCH(Table1[[#This Row],[Dept_Id]], Table3[[#All],[Dept_Id]], 0), 1)</f>
        <v>Development</v>
      </c>
      <c r="R40" s="22" t="str">
        <f>IF(Table1[[#This Row],[Left?]] = 1, (Table1[[#This Row],[New_Last_Date]]-Table1[[#This Row],[New_DoJ]])/365.25, "")</f>
        <v/>
      </c>
      <c r="S40" s="2" cm="1">
        <f t="array" ref="S4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0" s="2" t="str">
        <f>IF(Table1[[#This Row],[New_DoJ]] &gt;= EDATE( MAX(Table1[New_DoJ]), -24), "Yes", "No")</f>
        <v>No</v>
      </c>
    </row>
    <row r="41" spans="1:20" x14ac:dyDescent="0.3">
      <c r="A41" s="4">
        <v>10026</v>
      </c>
      <c r="B41" s="5" t="s">
        <v>149</v>
      </c>
      <c r="C41" s="5" t="s">
        <v>150</v>
      </c>
      <c r="D41" s="5" t="s">
        <v>151</v>
      </c>
      <c r="E41" s="5" t="s">
        <v>16</v>
      </c>
      <c r="F41" s="15">
        <v>34778</v>
      </c>
      <c r="G41" s="5">
        <v>1</v>
      </c>
      <c r="H41" s="5" t="s">
        <v>115</v>
      </c>
      <c r="I41" s="5">
        <v>0</v>
      </c>
      <c r="J41" s="5" t="s">
        <v>24</v>
      </c>
      <c r="K41" s="12">
        <v>47585</v>
      </c>
      <c r="L41" s="5" t="s">
        <v>25</v>
      </c>
      <c r="M41" s="6" t="s">
        <v>20</v>
      </c>
      <c r="N41" s="15">
        <v>19452</v>
      </c>
      <c r="O41" s="15">
        <v>34778</v>
      </c>
      <c r="P41" s="5"/>
      <c r="Q41" s="2" t="str">
        <f>INDEX(Table3[#All], MATCH(Table1[[#This Row],[Dept_Id]], Table3[[#All],[Dept_Id]], 0), 1)</f>
        <v>Production</v>
      </c>
      <c r="R41" s="22" t="str">
        <f>IF(Table1[[#This Row],[Left?]] = 1, (Table1[[#This Row],[New_Last_Date]]-Table1[[#This Row],[New_DoJ]])/365.25, "")</f>
        <v/>
      </c>
      <c r="S41" s="2" cm="1">
        <f t="array" ref="S4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41" s="2" t="str">
        <f>IF(Table1[[#This Row],[New_DoJ]] &gt;= EDATE( MAX(Table1[New_DoJ]), -24), "Yes", "No")</f>
        <v>No</v>
      </c>
    </row>
    <row r="42" spans="1:20" x14ac:dyDescent="0.3">
      <c r="A42" s="4">
        <v>21529</v>
      </c>
      <c r="B42" s="5" t="s">
        <v>152</v>
      </c>
      <c r="C42" s="5" t="s">
        <v>138</v>
      </c>
      <c r="D42" s="5" t="s">
        <v>153</v>
      </c>
      <c r="E42" s="5" t="s">
        <v>16</v>
      </c>
      <c r="F42" s="15">
        <v>31699</v>
      </c>
      <c r="G42" s="5">
        <v>7</v>
      </c>
      <c r="H42" s="5" t="s">
        <v>17</v>
      </c>
      <c r="I42" s="5">
        <v>0</v>
      </c>
      <c r="J42" s="5" t="s">
        <v>24</v>
      </c>
      <c r="K42" s="12">
        <v>40000</v>
      </c>
      <c r="L42" s="5" t="s">
        <v>19</v>
      </c>
      <c r="M42" s="6" t="s">
        <v>50</v>
      </c>
      <c r="N42" s="15">
        <v>21689</v>
      </c>
      <c r="O42" s="15">
        <v>31699</v>
      </c>
      <c r="P42" s="5"/>
      <c r="Q42" s="2" t="str">
        <f>INDEX(Table3[#All], MATCH(Table1[[#This Row],[Dept_Id]], Table3[[#All],[Dept_Id]], 0), 1)</f>
        <v>Development</v>
      </c>
      <c r="R42" s="22" t="str">
        <f>IF(Table1[[#This Row],[Left?]] = 1, (Table1[[#This Row],[New_Last_Date]]-Table1[[#This Row],[New_DoJ]])/365.25, "")</f>
        <v/>
      </c>
      <c r="S42" s="2" cm="1">
        <f t="array" ref="S4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2" s="2" t="str">
        <f>IF(Table1[[#This Row],[New_DoJ]] &gt;= EDATE( MAX(Table1[New_DoJ]), -24), "Yes", "No")</f>
        <v>No</v>
      </c>
    </row>
    <row r="43" spans="1:20" x14ac:dyDescent="0.3">
      <c r="A43" s="4">
        <v>10027</v>
      </c>
      <c r="B43" s="5" t="s">
        <v>154</v>
      </c>
      <c r="C43" s="5" t="s">
        <v>155</v>
      </c>
      <c r="D43" s="5" t="s">
        <v>156</v>
      </c>
      <c r="E43" s="5" t="s">
        <v>33</v>
      </c>
      <c r="F43" s="15">
        <v>32696</v>
      </c>
      <c r="G43" s="5">
        <v>10</v>
      </c>
      <c r="H43" s="5" t="s">
        <v>34</v>
      </c>
      <c r="I43" s="5">
        <v>0</v>
      </c>
      <c r="J43" s="5" t="s">
        <v>24</v>
      </c>
      <c r="K43" s="12">
        <v>40000</v>
      </c>
      <c r="L43" s="5" t="s">
        <v>19</v>
      </c>
      <c r="M43" s="6" t="s">
        <v>20</v>
      </c>
      <c r="N43" s="15">
        <v>22837</v>
      </c>
      <c r="O43" s="15">
        <v>32696</v>
      </c>
      <c r="P43" s="5"/>
      <c r="Q43" s="2" t="str">
        <f>INDEX(Table3[#All], MATCH(Table1[[#This Row],[Dept_Id]], Table3[[#All],[Dept_Id]], 0), 1)</f>
        <v>Development</v>
      </c>
      <c r="R43" s="22" t="str">
        <f>IF(Table1[[#This Row],[Left?]] = 1, (Table1[[#This Row],[New_Last_Date]]-Table1[[#This Row],[New_DoJ]])/365.25, "")</f>
        <v/>
      </c>
      <c r="S43" s="2" cm="1">
        <f t="array" ref="S4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3" s="2" t="str">
        <f>IF(Table1[[#This Row],[New_DoJ]] &gt;= EDATE( MAX(Table1[New_DoJ]), -24), "Yes", "No")</f>
        <v>No</v>
      </c>
    </row>
    <row r="44" spans="1:20" x14ac:dyDescent="0.3">
      <c r="A44" s="4">
        <v>10028</v>
      </c>
      <c r="B44" s="5" t="s">
        <v>157</v>
      </c>
      <c r="C44" s="5" t="s">
        <v>158</v>
      </c>
      <c r="D44" s="5" t="s">
        <v>159</v>
      </c>
      <c r="E44" s="5" t="s">
        <v>16</v>
      </c>
      <c r="F44" s="15">
        <v>33533</v>
      </c>
      <c r="G44" s="5">
        <v>8</v>
      </c>
      <c r="H44" s="5" t="s">
        <v>34</v>
      </c>
      <c r="I44" s="5">
        <v>0</v>
      </c>
      <c r="J44" s="5" t="s">
        <v>24</v>
      </c>
      <c r="K44" s="12">
        <v>48859</v>
      </c>
      <c r="L44" s="5" t="s">
        <v>19</v>
      </c>
      <c r="M44" s="6" t="s">
        <v>50</v>
      </c>
      <c r="N44" s="15">
        <v>23341</v>
      </c>
      <c r="O44" s="15">
        <v>33533</v>
      </c>
      <c r="P44" s="5"/>
      <c r="Q44" s="2" t="str">
        <f>INDEX(Table3[#All], MATCH(Table1[[#This Row],[Dept_Id]], Table3[[#All],[Dept_Id]], 0), 1)</f>
        <v>Development</v>
      </c>
      <c r="R44" s="22" t="str">
        <f>IF(Table1[[#This Row],[Left?]] = 1, (Table1[[#This Row],[New_Last_Date]]-Table1[[#This Row],[New_DoJ]])/365.25, "")</f>
        <v/>
      </c>
      <c r="S44" s="2" cm="1">
        <f t="array" ref="S4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4" s="2" t="str">
        <f>IF(Table1[[#This Row],[New_DoJ]] &gt;= EDATE( MAX(Table1[New_DoJ]), -24), "Yes", "No")</f>
        <v>No</v>
      </c>
    </row>
    <row r="45" spans="1:20" x14ac:dyDescent="0.3">
      <c r="A45" s="4">
        <v>17934</v>
      </c>
      <c r="B45" s="5" t="s">
        <v>160</v>
      </c>
      <c r="C45" s="5" t="s">
        <v>161</v>
      </c>
      <c r="D45" s="5" t="s">
        <v>162</v>
      </c>
      <c r="E45" s="5" t="s">
        <v>16</v>
      </c>
      <c r="F45" s="15">
        <v>34248</v>
      </c>
      <c r="G45" s="5">
        <v>7</v>
      </c>
      <c r="H45" s="5" t="s">
        <v>17</v>
      </c>
      <c r="I45" s="5">
        <v>0</v>
      </c>
      <c r="J45" s="5" t="s">
        <v>24</v>
      </c>
      <c r="K45" s="12">
        <v>48795</v>
      </c>
      <c r="L45" s="5" t="s">
        <v>19</v>
      </c>
      <c r="M45" s="6" t="s">
        <v>129</v>
      </c>
      <c r="N45" s="15">
        <v>23204</v>
      </c>
      <c r="O45" s="15">
        <v>34248</v>
      </c>
      <c r="P45" s="5"/>
      <c r="Q45" s="2" t="str">
        <f>INDEX(Table3[#All], MATCH(Table1[[#This Row],[Dept_Id]], Table3[[#All],[Dept_Id]], 0), 1)</f>
        <v>Development</v>
      </c>
      <c r="R45" s="22" t="str">
        <f>IF(Table1[[#This Row],[Left?]] = 1, (Table1[[#This Row],[New_Last_Date]]-Table1[[#This Row],[New_DoJ]])/365.25, "")</f>
        <v/>
      </c>
      <c r="S45" s="2" cm="1">
        <f t="array" ref="S4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5" s="2" t="str">
        <f>IF(Table1[[#This Row],[New_DoJ]] &gt;= EDATE( MAX(Table1[New_DoJ]), -24), "Yes", "No")</f>
        <v>No</v>
      </c>
    </row>
    <row r="46" spans="1:20" x14ac:dyDescent="0.3">
      <c r="A46" s="4">
        <v>10029</v>
      </c>
      <c r="B46" s="5" t="s">
        <v>163</v>
      </c>
      <c r="C46" s="5" t="s">
        <v>164</v>
      </c>
      <c r="D46" s="5" t="s">
        <v>165</v>
      </c>
      <c r="E46" s="5" t="s">
        <v>16</v>
      </c>
      <c r="F46" s="15">
        <v>31371</v>
      </c>
      <c r="G46" s="5">
        <v>6</v>
      </c>
      <c r="H46" s="5" t="s">
        <v>17</v>
      </c>
      <c r="I46" s="5">
        <v>0</v>
      </c>
      <c r="J46" s="5" t="s">
        <v>24</v>
      </c>
      <c r="K46" s="12">
        <v>63163</v>
      </c>
      <c r="L46" s="5" t="s">
        <v>25</v>
      </c>
      <c r="M46" s="6" t="s">
        <v>20</v>
      </c>
      <c r="N46" s="15">
        <v>20802</v>
      </c>
      <c r="O46" s="15">
        <v>31371</v>
      </c>
      <c r="P46" s="5"/>
      <c r="Q46" s="2" t="str">
        <f>INDEX(Table3[#All], MATCH(Table1[[#This Row],[Dept_Id]], Table3[[#All],[Dept_Id]], 0), 1)</f>
        <v>Production</v>
      </c>
      <c r="R46" s="22" t="str">
        <f>IF(Table1[[#This Row],[Left?]] = 1, (Table1[[#This Row],[New_Last_Date]]-Table1[[#This Row],[New_DoJ]])/365.25, "")</f>
        <v/>
      </c>
      <c r="S46" s="2" cm="1">
        <f t="array" ref="S4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6" s="2" t="str">
        <f>IF(Table1[[#This Row],[New_DoJ]] &gt;= EDATE( MAX(Table1[New_DoJ]), -24), "Yes", "No")</f>
        <v>No</v>
      </c>
    </row>
    <row r="47" spans="1:20" x14ac:dyDescent="0.3">
      <c r="A47" s="4">
        <v>10029</v>
      </c>
      <c r="B47" s="5" t="s">
        <v>163</v>
      </c>
      <c r="C47" s="5" t="s">
        <v>164</v>
      </c>
      <c r="D47" s="5" t="s">
        <v>165</v>
      </c>
      <c r="E47" s="5" t="s">
        <v>16</v>
      </c>
      <c r="F47" s="15">
        <v>31371</v>
      </c>
      <c r="G47" s="5">
        <v>6</v>
      </c>
      <c r="H47" s="5" t="s">
        <v>17</v>
      </c>
      <c r="I47" s="5">
        <v>0</v>
      </c>
      <c r="J47" s="5" t="s">
        <v>24</v>
      </c>
      <c r="K47" s="12">
        <v>63163</v>
      </c>
      <c r="L47" s="5" t="s">
        <v>63</v>
      </c>
      <c r="M47" s="6" t="s">
        <v>20</v>
      </c>
      <c r="N47" s="15">
        <v>20802</v>
      </c>
      <c r="O47" s="15">
        <v>31371</v>
      </c>
      <c r="P47" s="5"/>
      <c r="Q47" s="2" t="str">
        <f>INDEX(Table3[#All], MATCH(Table1[[#This Row],[Dept_Id]], Table3[[#All],[Dept_Id]], 0), 1)</f>
        <v>Quality Management</v>
      </c>
      <c r="R47" s="22" t="str">
        <f>IF(Table1[[#This Row],[Left?]] = 1, (Table1[[#This Row],[New_Last_Date]]-Table1[[#This Row],[New_DoJ]])/365.25, "")</f>
        <v/>
      </c>
      <c r="S47" s="2" cm="1">
        <f t="array" ref="S4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7" s="2" t="str">
        <f>IF(Table1[[#This Row],[New_DoJ]] &gt;= EDATE( MAX(Table1[New_DoJ]), -24), "Yes", "No")</f>
        <v>No</v>
      </c>
    </row>
    <row r="48" spans="1:20" x14ac:dyDescent="0.3">
      <c r="A48" s="4">
        <v>48085</v>
      </c>
      <c r="B48" s="5" t="s">
        <v>166</v>
      </c>
      <c r="C48" s="5" t="s">
        <v>167</v>
      </c>
      <c r="D48" s="5" t="s">
        <v>168</v>
      </c>
      <c r="E48" s="5" t="s">
        <v>16</v>
      </c>
      <c r="F48" s="15">
        <v>34148</v>
      </c>
      <c r="G48" s="5">
        <v>9</v>
      </c>
      <c r="H48" s="5" t="s">
        <v>34</v>
      </c>
      <c r="I48" s="5">
        <v>0</v>
      </c>
      <c r="J48" s="5" t="s">
        <v>24</v>
      </c>
      <c r="K48" s="12">
        <v>63016</v>
      </c>
      <c r="L48" s="5" t="s">
        <v>92</v>
      </c>
      <c r="M48" s="6" t="s">
        <v>39</v>
      </c>
      <c r="N48" s="15">
        <v>23395</v>
      </c>
      <c r="O48" s="15">
        <v>34148</v>
      </c>
      <c r="P48" s="5"/>
      <c r="Q48" s="2" t="str">
        <f>INDEX(Table3[#All], MATCH(Table1[[#This Row],[Dept_Id]], Table3[[#All],[Dept_Id]], 0), 1)</f>
        <v>Finance</v>
      </c>
      <c r="R48" s="22" t="str">
        <f>IF(Table1[[#This Row],[Left?]] = 1, (Table1[[#This Row],[New_Last_Date]]-Table1[[#This Row],[New_DoJ]])/365.25, "")</f>
        <v/>
      </c>
      <c r="S48" s="2" cm="1">
        <f t="array" ref="S4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8" s="2" t="str">
        <f>IF(Table1[[#This Row],[New_DoJ]] &gt;= EDATE( MAX(Table1[New_DoJ]), -24), "Yes", "No")</f>
        <v>No</v>
      </c>
    </row>
    <row r="49" spans="1:20" x14ac:dyDescent="0.3">
      <c r="A49" s="4">
        <v>10030</v>
      </c>
      <c r="B49" s="5" t="s">
        <v>169</v>
      </c>
      <c r="C49" s="5" t="s">
        <v>170</v>
      </c>
      <c r="D49" s="5" t="s">
        <v>171</v>
      </c>
      <c r="E49" s="5" t="s">
        <v>16</v>
      </c>
      <c r="F49" s="15">
        <v>34382</v>
      </c>
      <c r="G49" s="5">
        <v>10</v>
      </c>
      <c r="H49" s="5" t="s">
        <v>29</v>
      </c>
      <c r="I49" s="5">
        <v>0</v>
      </c>
      <c r="J49" s="5" t="s">
        <v>24</v>
      </c>
      <c r="K49" s="12">
        <v>66956</v>
      </c>
      <c r="L49" s="5" t="s">
        <v>25</v>
      </c>
      <c r="M49" s="6" t="s">
        <v>20</v>
      </c>
      <c r="N49" s="15">
        <v>21380</v>
      </c>
      <c r="O49" s="15">
        <v>34382</v>
      </c>
      <c r="P49" s="5"/>
      <c r="Q49" s="2" t="str">
        <f>INDEX(Table3[#All], MATCH(Table1[[#This Row],[Dept_Id]], Table3[[#All],[Dept_Id]], 0), 1)</f>
        <v>Production</v>
      </c>
      <c r="R49" s="22" t="str">
        <f>IF(Table1[[#This Row],[Left?]] = 1, (Table1[[#This Row],[New_Last_Date]]-Table1[[#This Row],[New_DoJ]])/365.25, "")</f>
        <v/>
      </c>
      <c r="S49" s="2" cm="1">
        <f t="array" ref="S4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9" s="2" t="str">
        <f>IF(Table1[[#This Row],[New_DoJ]] &gt;= EDATE( MAX(Table1[New_DoJ]), -24), "Yes", "No")</f>
        <v>No</v>
      </c>
    </row>
    <row r="50" spans="1:20" x14ac:dyDescent="0.3">
      <c r="A50" s="4">
        <v>10031</v>
      </c>
      <c r="B50" s="5" t="s">
        <v>172</v>
      </c>
      <c r="C50" s="5" t="s">
        <v>173</v>
      </c>
      <c r="D50" s="5" t="s">
        <v>174</v>
      </c>
      <c r="E50" s="5" t="s">
        <v>16</v>
      </c>
      <c r="F50" s="15">
        <v>33482</v>
      </c>
      <c r="G50" s="5">
        <v>2</v>
      </c>
      <c r="H50" s="5" t="s">
        <v>17</v>
      </c>
      <c r="I50" s="5">
        <v>1</v>
      </c>
      <c r="J50" s="5" t="s">
        <v>175</v>
      </c>
      <c r="K50" s="12">
        <v>40000</v>
      </c>
      <c r="L50" s="5" t="s">
        <v>19</v>
      </c>
      <c r="M50" s="6" t="s">
        <v>20</v>
      </c>
      <c r="N50" s="15">
        <v>21577</v>
      </c>
      <c r="O50" s="15">
        <v>33482</v>
      </c>
      <c r="P50" s="15">
        <v>36375</v>
      </c>
      <c r="Q50" s="2" t="str">
        <f>INDEX(Table3[#All], MATCH(Table1[[#This Row],[Dept_Id]], Table3[[#All],[Dept_Id]], 0), 1)</f>
        <v>Development</v>
      </c>
      <c r="R50" s="22">
        <f>IF(Table1[[#This Row],[Left?]] = 1, (Table1[[#This Row],[New_Last_Date]]-Table1[[#This Row],[New_DoJ]])/365.25, "")</f>
        <v>7.9206023271731691</v>
      </c>
      <c r="S50" s="2" cm="1">
        <f t="array" ref="S5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50" s="2" t="str">
        <f>IF(Table1[[#This Row],[New_DoJ]] &gt;= EDATE( MAX(Table1[New_DoJ]), -24), "Yes", "No")</f>
        <v>No</v>
      </c>
    </row>
    <row r="51" spans="1:20" x14ac:dyDescent="0.3">
      <c r="A51" s="4">
        <v>239838</v>
      </c>
      <c r="B51" s="5" t="s">
        <v>176</v>
      </c>
      <c r="C51" s="5" t="s">
        <v>177</v>
      </c>
      <c r="D51" s="5" t="s">
        <v>178</v>
      </c>
      <c r="E51" s="5" t="s">
        <v>16</v>
      </c>
      <c r="F51" s="15">
        <v>34126</v>
      </c>
      <c r="G51" s="5">
        <v>3</v>
      </c>
      <c r="H51" s="5" t="s">
        <v>29</v>
      </c>
      <c r="I51" s="5">
        <v>0</v>
      </c>
      <c r="J51" s="5" t="s">
        <v>24</v>
      </c>
      <c r="K51" s="12">
        <v>57715</v>
      </c>
      <c r="L51" s="5" t="s">
        <v>25</v>
      </c>
      <c r="M51" s="6" t="s">
        <v>50</v>
      </c>
      <c r="N51" s="15">
        <v>21165</v>
      </c>
      <c r="O51" s="15">
        <v>34126</v>
      </c>
      <c r="P51" s="5"/>
      <c r="Q51" s="2" t="str">
        <f>INDEX(Table3[#All], MATCH(Table1[[#This Row],[Dept_Id]], Table3[[#All],[Dept_Id]], 0), 1)</f>
        <v>Production</v>
      </c>
      <c r="R51" s="22" t="str">
        <f>IF(Table1[[#This Row],[Left?]] = 1, (Table1[[#This Row],[New_Last_Date]]-Table1[[#This Row],[New_DoJ]])/365.25, "")</f>
        <v/>
      </c>
      <c r="S51" s="2" cm="1">
        <f t="array" ref="S5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51" s="2" t="str">
        <f>IF(Table1[[#This Row],[New_DoJ]] &gt;= EDATE( MAX(Table1[New_DoJ]), -24), "Yes", "No")</f>
        <v>No</v>
      </c>
    </row>
    <row r="52" spans="1:20" x14ac:dyDescent="0.3">
      <c r="A52" s="4">
        <v>10032</v>
      </c>
      <c r="B52" s="5" t="s">
        <v>179</v>
      </c>
      <c r="C52" s="5" t="s">
        <v>180</v>
      </c>
      <c r="D52" s="5" t="s">
        <v>156</v>
      </c>
      <c r="E52" s="5" t="s">
        <v>33</v>
      </c>
      <c r="F52" s="15">
        <v>33044</v>
      </c>
      <c r="G52" s="5">
        <v>9</v>
      </c>
      <c r="H52" s="5" t="s">
        <v>17</v>
      </c>
      <c r="I52" s="5">
        <v>0</v>
      </c>
      <c r="J52" s="5" t="s">
        <v>24</v>
      </c>
      <c r="K52" s="12">
        <v>48426</v>
      </c>
      <c r="L52" s="5" t="s">
        <v>25</v>
      </c>
      <c r="M52" s="6" t="s">
        <v>20</v>
      </c>
      <c r="N52" s="15">
        <v>22137</v>
      </c>
      <c r="O52" s="15">
        <v>33044</v>
      </c>
      <c r="P52" s="5"/>
      <c r="Q52" s="2" t="str">
        <f>INDEX(Table3[#All], MATCH(Table1[[#This Row],[Dept_Id]], Table3[[#All],[Dept_Id]], 0), 1)</f>
        <v>Production</v>
      </c>
      <c r="R52" s="22" t="str">
        <f>IF(Table1[[#This Row],[Left?]] = 1, (Table1[[#This Row],[New_Last_Date]]-Table1[[#This Row],[New_DoJ]])/365.25, "")</f>
        <v/>
      </c>
      <c r="S52" s="2" cm="1">
        <f t="array" ref="S5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52" s="2" t="str">
        <f>IF(Table1[[#This Row],[New_DoJ]] &gt;= EDATE( MAX(Table1[New_DoJ]), -24), "Yes", "No")</f>
        <v>No</v>
      </c>
    </row>
    <row r="53" spans="1:20" x14ac:dyDescent="0.3">
      <c r="A53" s="4">
        <v>10033</v>
      </c>
      <c r="B53" s="5" t="s">
        <v>181</v>
      </c>
      <c r="C53" s="5" t="s">
        <v>182</v>
      </c>
      <c r="D53" s="5" t="s">
        <v>183</v>
      </c>
      <c r="E53" s="5" t="s">
        <v>16</v>
      </c>
      <c r="F53" s="15">
        <v>31854</v>
      </c>
      <c r="G53" s="5">
        <v>9</v>
      </c>
      <c r="H53" s="5" t="s">
        <v>29</v>
      </c>
      <c r="I53" s="5">
        <v>0</v>
      </c>
      <c r="J53" s="5" t="s">
        <v>24</v>
      </c>
      <c r="K53" s="12">
        <v>51258</v>
      </c>
      <c r="L53" s="5" t="s">
        <v>63</v>
      </c>
      <c r="M53" s="6" t="s">
        <v>129</v>
      </c>
      <c r="N53" s="15">
        <v>20773</v>
      </c>
      <c r="O53" s="15">
        <v>31854</v>
      </c>
      <c r="P53" s="5"/>
      <c r="Q53" s="2" t="str">
        <f>INDEX(Table3[#All], MATCH(Table1[[#This Row],[Dept_Id]], Table3[[#All],[Dept_Id]], 0), 1)</f>
        <v>Quality Management</v>
      </c>
      <c r="R53" s="22" t="str">
        <f>IF(Table1[[#This Row],[Left?]] = 1, (Table1[[#This Row],[New_Last_Date]]-Table1[[#This Row],[New_DoJ]])/365.25, "")</f>
        <v/>
      </c>
      <c r="S53" s="2" cm="1">
        <f t="array" ref="S5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53" s="2" t="str">
        <f>IF(Table1[[#This Row],[New_DoJ]] &gt;= EDATE( MAX(Table1[New_DoJ]), -24), "Yes", "No")</f>
        <v>No</v>
      </c>
    </row>
    <row r="54" spans="1:20" x14ac:dyDescent="0.3">
      <c r="A54" s="4">
        <v>240129</v>
      </c>
      <c r="B54" s="5" t="s">
        <v>184</v>
      </c>
      <c r="C54" s="5" t="s">
        <v>185</v>
      </c>
      <c r="D54" s="5" t="s">
        <v>186</v>
      </c>
      <c r="E54" s="5" t="s">
        <v>16</v>
      </c>
      <c r="F54" s="15">
        <v>31196</v>
      </c>
      <c r="G54" s="5">
        <v>10</v>
      </c>
      <c r="H54" s="5" t="s">
        <v>17</v>
      </c>
      <c r="I54" s="5">
        <v>0</v>
      </c>
      <c r="J54" s="5" t="s">
        <v>24</v>
      </c>
      <c r="K54" s="12">
        <v>43548</v>
      </c>
      <c r="L54" s="5" t="s">
        <v>63</v>
      </c>
      <c r="M54" s="6" t="s">
        <v>129</v>
      </c>
      <c r="N54" s="15">
        <v>19217</v>
      </c>
      <c r="O54" s="15">
        <v>31196</v>
      </c>
      <c r="P54" s="5"/>
      <c r="Q54" s="2" t="str">
        <f>INDEX(Table3[#All], MATCH(Table1[[#This Row],[Dept_Id]], Table3[[#All],[Dept_Id]], 0), 1)</f>
        <v>Quality Management</v>
      </c>
      <c r="R54" s="22" t="str">
        <f>IF(Table1[[#This Row],[Left?]] = 1, (Table1[[#This Row],[New_Last_Date]]-Table1[[#This Row],[New_DoJ]])/365.25, "")</f>
        <v/>
      </c>
      <c r="S54" s="2" cm="1">
        <f t="array" ref="S5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54" s="2" t="str">
        <f>IF(Table1[[#This Row],[New_DoJ]] &gt;= EDATE( MAX(Table1[New_DoJ]), -24), "Yes", "No")</f>
        <v>No</v>
      </c>
    </row>
    <row r="55" spans="1:20" x14ac:dyDescent="0.3">
      <c r="A55" s="4">
        <v>10034</v>
      </c>
      <c r="B55" s="5" t="s">
        <v>187</v>
      </c>
      <c r="C55" s="5" t="s">
        <v>188</v>
      </c>
      <c r="D55" s="5" t="s">
        <v>189</v>
      </c>
      <c r="E55" s="5" t="s">
        <v>16</v>
      </c>
      <c r="F55" s="15">
        <v>32407</v>
      </c>
      <c r="G55" s="5">
        <v>8</v>
      </c>
      <c r="H55" s="5" t="s">
        <v>17</v>
      </c>
      <c r="I55" s="5">
        <v>0</v>
      </c>
      <c r="J55" s="5" t="s">
        <v>24</v>
      </c>
      <c r="K55" s="12">
        <v>47561</v>
      </c>
      <c r="L55" s="5" t="s">
        <v>38</v>
      </c>
      <c r="M55" s="6" t="s">
        <v>39</v>
      </c>
      <c r="N55" s="15">
        <v>23009</v>
      </c>
      <c r="O55" s="15">
        <v>32407</v>
      </c>
      <c r="P55" s="5"/>
      <c r="Q55" s="2" t="str">
        <f>INDEX(Table3[#All], MATCH(Table1[[#This Row],[Dept_Id]], Table3[[#All],[Dept_Id]], 0), 1)</f>
        <v>Sales</v>
      </c>
      <c r="R55" s="22" t="str">
        <f>IF(Table1[[#This Row],[Left?]] = 1, (Table1[[#This Row],[New_Last_Date]]-Table1[[#This Row],[New_DoJ]])/365.25, "")</f>
        <v/>
      </c>
      <c r="S55" s="2" cm="1">
        <f t="array" ref="S5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55" s="2" t="str">
        <f>IF(Table1[[#This Row],[New_DoJ]] &gt;= EDATE( MAX(Table1[New_DoJ]), -24), "Yes", "No")</f>
        <v>No</v>
      </c>
    </row>
    <row r="56" spans="1:20" x14ac:dyDescent="0.3">
      <c r="A56" s="4">
        <v>10035</v>
      </c>
      <c r="B56" s="5" t="s">
        <v>190</v>
      </c>
      <c r="C56" s="5" t="s">
        <v>191</v>
      </c>
      <c r="D56" s="5" t="s">
        <v>192</v>
      </c>
      <c r="E56" s="5" t="s">
        <v>16</v>
      </c>
      <c r="F56" s="15">
        <v>32391</v>
      </c>
      <c r="G56" s="5">
        <v>6</v>
      </c>
      <c r="H56" s="5" t="s">
        <v>34</v>
      </c>
      <c r="I56" s="5">
        <v>0</v>
      </c>
      <c r="J56" s="5" t="s">
        <v>24</v>
      </c>
      <c r="K56" s="12">
        <v>41538</v>
      </c>
      <c r="L56" s="5" t="s">
        <v>25</v>
      </c>
      <c r="M56" s="6" t="s">
        <v>20</v>
      </c>
      <c r="N56" s="15">
        <v>19398</v>
      </c>
      <c r="O56" s="15">
        <v>32391</v>
      </c>
      <c r="P56" s="5"/>
      <c r="Q56" s="2" t="str">
        <f>INDEX(Table3[#All], MATCH(Table1[[#This Row],[Dept_Id]], Table3[[#All],[Dept_Id]], 0), 1)</f>
        <v>Production</v>
      </c>
      <c r="R56" s="22" t="str">
        <f>IF(Table1[[#This Row],[Left?]] = 1, (Table1[[#This Row],[New_Last_Date]]-Table1[[#This Row],[New_DoJ]])/365.25, "")</f>
        <v/>
      </c>
      <c r="S56" s="2" cm="1">
        <f t="array" ref="S5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56" s="2" t="str">
        <f>IF(Table1[[#This Row],[New_DoJ]] &gt;= EDATE( MAX(Table1[New_DoJ]), -24), "Yes", "No")</f>
        <v>No</v>
      </c>
    </row>
    <row r="57" spans="1:20" x14ac:dyDescent="0.3">
      <c r="A57" s="4">
        <v>205246</v>
      </c>
      <c r="B57" s="5" t="s">
        <v>193</v>
      </c>
      <c r="C57" s="5" t="s">
        <v>194</v>
      </c>
      <c r="D57" s="5" t="s">
        <v>195</v>
      </c>
      <c r="E57" s="5" t="s">
        <v>33</v>
      </c>
      <c r="F57" s="15">
        <v>31550</v>
      </c>
      <c r="G57" s="5">
        <v>8</v>
      </c>
      <c r="H57" s="5" t="s">
        <v>34</v>
      </c>
      <c r="I57" s="5">
        <v>0</v>
      </c>
      <c r="J57" s="5" t="s">
        <v>24</v>
      </c>
      <c r="K57" s="12">
        <v>80252</v>
      </c>
      <c r="L57" s="5" t="s">
        <v>38</v>
      </c>
      <c r="M57" s="6" t="s">
        <v>87</v>
      </c>
      <c r="N57" s="15">
        <v>21514</v>
      </c>
      <c r="O57" s="15">
        <v>31550</v>
      </c>
      <c r="P57" s="5"/>
      <c r="Q57" s="2" t="str">
        <f>INDEX(Table3[#All], MATCH(Table1[[#This Row],[Dept_Id]], Table3[[#All],[Dept_Id]], 0), 1)</f>
        <v>Sales</v>
      </c>
      <c r="R57" s="22" t="str">
        <f>IF(Table1[[#This Row],[Left?]] = 1, (Table1[[#This Row],[New_Last_Date]]-Table1[[#This Row],[New_DoJ]])/365.25, "")</f>
        <v/>
      </c>
      <c r="S57" s="2" cm="1">
        <f t="array" ref="S5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57" s="2" t="str">
        <f>IF(Table1[[#This Row],[New_DoJ]] &gt;= EDATE( MAX(Table1[New_DoJ]), -24), "Yes", "No")</f>
        <v>No</v>
      </c>
    </row>
    <row r="58" spans="1:20" x14ac:dyDescent="0.3">
      <c r="A58" s="4">
        <v>10036</v>
      </c>
      <c r="B58" s="5" t="s">
        <v>196</v>
      </c>
      <c r="C58" s="5" t="s">
        <v>197</v>
      </c>
      <c r="D58" s="5" t="s">
        <v>198</v>
      </c>
      <c r="E58" s="5" t="s">
        <v>16</v>
      </c>
      <c r="F58" s="15">
        <v>33606</v>
      </c>
      <c r="G58" s="5">
        <v>5</v>
      </c>
      <c r="H58" s="5" t="s">
        <v>17</v>
      </c>
      <c r="I58" s="5">
        <v>0</v>
      </c>
      <c r="J58" s="5" t="s">
        <v>24</v>
      </c>
      <c r="K58" s="12">
        <v>42819</v>
      </c>
      <c r="L58" s="5" t="s">
        <v>43</v>
      </c>
      <c r="M58" s="6" t="s">
        <v>87</v>
      </c>
      <c r="N58" s="15">
        <v>21772</v>
      </c>
      <c r="O58" s="15">
        <v>33606</v>
      </c>
      <c r="P58" s="5"/>
      <c r="Q58" s="2" t="str">
        <f>INDEX(Table3[#All], MATCH(Table1[[#This Row],[Dept_Id]], Table3[[#All],[Dept_Id]], 0), 1)</f>
        <v>Human Resources</v>
      </c>
      <c r="R58" s="22" t="str">
        <f>IF(Table1[[#This Row],[Left?]] = 1, (Table1[[#This Row],[New_Last_Date]]-Table1[[#This Row],[New_DoJ]])/365.25, "")</f>
        <v/>
      </c>
      <c r="S58" s="2" cm="1">
        <f t="array" ref="S5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58" s="2" t="str">
        <f>IF(Table1[[#This Row],[New_DoJ]] &gt;= EDATE( MAX(Table1[New_DoJ]), -24), "Yes", "No")</f>
        <v>No</v>
      </c>
    </row>
    <row r="59" spans="1:20" x14ac:dyDescent="0.3">
      <c r="A59" s="4">
        <v>10037</v>
      </c>
      <c r="B59" s="5" t="s">
        <v>199</v>
      </c>
      <c r="C59" s="5" t="s">
        <v>200</v>
      </c>
      <c r="D59" s="5" t="s">
        <v>201</v>
      </c>
      <c r="E59" s="5" t="s">
        <v>16</v>
      </c>
      <c r="F59" s="15">
        <v>33212</v>
      </c>
      <c r="G59" s="5">
        <v>4</v>
      </c>
      <c r="H59" s="5" t="s">
        <v>29</v>
      </c>
      <c r="I59" s="5">
        <v>0</v>
      </c>
      <c r="J59" s="5" t="s">
        <v>24</v>
      </c>
      <c r="K59" s="12">
        <v>40000</v>
      </c>
      <c r="L59" s="5" t="s">
        <v>19</v>
      </c>
      <c r="M59" s="6" t="s">
        <v>20</v>
      </c>
      <c r="N59" s="15">
        <v>23214</v>
      </c>
      <c r="O59" s="15">
        <v>33212</v>
      </c>
      <c r="P59" s="5"/>
      <c r="Q59" s="2" t="str">
        <f>INDEX(Table3[#All], MATCH(Table1[[#This Row],[Dept_Id]], Table3[[#All],[Dept_Id]], 0), 1)</f>
        <v>Development</v>
      </c>
      <c r="R59" s="22" t="str">
        <f>IF(Table1[[#This Row],[Left?]] = 1, (Table1[[#This Row],[New_Last_Date]]-Table1[[#This Row],[New_DoJ]])/365.25, "")</f>
        <v/>
      </c>
      <c r="S59" s="2" cm="1">
        <f t="array" ref="S5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59" s="2" t="str">
        <f>IF(Table1[[#This Row],[New_DoJ]] &gt;= EDATE( MAX(Table1[New_DoJ]), -24), "Yes", "No")</f>
        <v>No</v>
      </c>
    </row>
    <row r="60" spans="1:20" x14ac:dyDescent="0.3">
      <c r="A60" s="4">
        <v>10038</v>
      </c>
      <c r="B60" s="5" t="s">
        <v>202</v>
      </c>
      <c r="C60" s="5" t="s">
        <v>203</v>
      </c>
      <c r="D60" s="5" t="s">
        <v>204</v>
      </c>
      <c r="E60" s="5" t="s">
        <v>16</v>
      </c>
      <c r="F60" s="15">
        <v>32771</v>
      </c>
      <c r="G60" s="5">
        <v>5</v>
      </c>
      <c r="H60" s="5" t="s">
        <v>29</v>
      </c>
      <c r="I60" s="5">
        <v>0</v>
      </c>
      <c r="J60" s="5" t="s">
        <v>24</v>
      </c>
      <c r="K60" s="12">
        <v>40000</v>
      </c>
      <c r="L60" s="5" t="s">
        <v>77</v>
      </c>
      <c r="M60" s="6" t="s">
        <v>39</v>
      </c>
      <c r="N60" s="15">
        <v>22117</v>
      </c>
      <c r="O60" s="15">
        <v>32771</v>
      </c>
      <c r="P60" s="5"/>
      <c r="Q60" s="2" t="str">
        <f>INDEX(Table3[#All], MATCH(Table1[[#This Row],[Dept_Id]], Table3[[#All],[Dept_Id]], 0), 1)</f>
        <v>Customer Service</v>
      </c>
      <c r="R60" s="22" t="str">
        <f>IF(Table1[[#This Row],[Left?]] = 1, (Table1[[#This Row],[New_Last_Date]]-Table1[[#This Row],[New_DoJ]])/365.25, "")</f>
        <v/>
      </c>
      <c r="S60" s="2" cm="1">
        <f t="array" ref="S6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60" s="2" t="str">
        <f>IF(Table1[[#This Row],[New_DoJ]] &gt;= EDATE( MAX(Table1[New_DoJ]), -24), "Yes", "No")</f>
        <v>No</v>
      </c>
    </row>
    <row r="61" spans="1:20" x14ac:dyDescent="0.3">
      <c r="A61" s="4">
        <v>10039</v>
      </c>
      <c r="B61" s="5" t="s">
        <v>205</v>
      </c>
      <c r="C61" s="5" t="s">
        <v>206</v>
      </c>
      <c r="D61" s="5" t="s">
        <v>207</v>
      </c>
      <c r="E61" s="5" t="s">
        <v>16</v>
      </c>
      <c r="F61" s="15">
        <v>32161</v>
      </c>
      <c r="G61" s="5">
        <v>1</v>
      </c>
      <c r="H61" s="5" t="s">
        <v>34</v>
      </c>
      <c r="I61" s="5">
        <v>0</v>
      </c>
      <c r="J61" s="5" t="s">
        <v>24</v>
      </c>
      <c r="K61" s="12">
        <v>40000</v>
      </c>
      <c r="L61" s="5" t="s">
        <v>43</v>
      </c>
      <c r="M61" s="6" t="s">
        <v>39</v>
      </c>
      <c r="N61" s="15">
        <v>21824</v>
      </c>
      <c r="O61" s="15">
        <v>32161</v>
      </c>
      <c r="P61" s="5"/>
      <c r="Q61" s="2" t="str">
        <f>INDEX(Table3[#All], MATCH(Table1[[#This Row],[Dept_Id]], Table3[[#All],[Dept_Id]], 0), 1)</f>
        <v>Human Resources</v>
      </c>
      <c r="R61" s="22" t="str">
        <f>IF(Table1[[#This Row],[Left?]] = 1, (Table1[[#This Row],[New_Last_Date]]-Table1[[#This Row],[New_DoJ]])/365.25, "")</f>
        <v/>
      </c>
      <c r="S61" s="2" cm="1">
        <f t="array" ref="S6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61" s="2" t="str">
        <f>IF(Table1[[#This Row],[New_DoJ]] &gt;= EDATE( MAX(Table1[New_DoJ]), -24), "Yes", "No")</f>
        <v>No</v>
      </c>
    </row>
    <row r="62" spans="1:20" x14ac:dyDescent="0.3">
      <c r="A62" s="4">
        <v>424270</v>
      </c>
      <c r="B62" s="5" t="s">
        <v>208</v>
      </c>
      <c r="C62" s="5" t="s">
        <v>209</v>
      </c>
      <c r="D62" s="5" t="s">
        <v>210</v>
      </c>
      <c r="E62" s="5" t="s">
        <v>33</v>
      </c>
      <c r="F62" s="15">
        <v>34827</v>
      </c>
      <c r="G62" s="5">
        <v>8</v>
      </c>
      <c r="H62" s="5" t="s">
        <v>29</v>
      </c>
      <c r="I62" s="5">
        <v>0</v>
      </c>
      <c r="J62" s="5" t="s">
        <v>24</v>
      </c>
      <c r="K62" s="12">
        <v>60678</v>
      </c>
      <c r="L62" s="5" t="s">
        <v>92</v>
      </c>
      <c r="M62" s="6" t="s">
        <v>39</v>
      </c>
      <c r="N62" s="15">
        <v>23026</v>
      </c>
      <c r="O62" s="15">
        <v>34827</v>
      </c>
      <c r="P62" s="5"/>
      <c r="Q62" s="2" t="str">
        <f>INDEX(Table3[#All], MATCH(Table1[[#This Row],[Dept_Id]], Table3[[#All],[Dept_Id]], 0), 1)</f>
        <v>Finance</v>
      </c>
      <c r="R62" s="22" t="str">
        <f>IF(Table1[[#This Row],[Left?]] = 1, (Table1[[#This Row],[New_Last_Date]]-Table1[[#This Row],[New_DoJ]])/365.25, "")</f>
        <v/>
      </c>
      <c r="S62" s="2" cm="1">
        <f t="array" ref="S6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62" s="2" t="str">
        <f>IF(Table1[[#This Row],[New_DoJ]] &gt;= EDATE( MAX(Table1[New_DoJ]), -24), "Yes", "No")</f>
        <v>No</v>
      </c>
    </row>
    <row r="63" spans="1:20" x14ac:dyDescent="0.3">
      <c r="A63" s="4">
        <v>424270</v>
      </c>
      <c r="B63" s="5" t="s">
        <v>208</v>
      </c>
      <c r="C63" s="5" t="s">
        <v>209</v>
      </c>
      <c r="D63" s="5" t="s">
        <v>210</v>
      </c>
      <c r="E63" s="5" t="s">
        <v>33</v>
      </c>
      <c r="F63" s="15">
        <v>34827</v>
      </c>
      <c r="G63" s="5">
        <v>8</v>
      </c>
      <c r="H63" s="5" t="s">
        <v>29</v>
      </c>
      <c r="I63" s="5">
        <v>0</v>
      </c>
      <c r="J63" s="5" t="s">
        <v>24</v>
      </c>
      <c r="K63" s="12">
        <v>60678</v>
      </c>
      <c r="L63" s="5" t="s">
        <v>38</v>
      </c>
      <c r="M63" s="6" t="s">
        <v>39</v>
      </c>
      <c r="N63" s="15">
        <v>23026</v>
      </c>
      <c r="O63" s="15">
        <v>34827</v>
      </c>
      <c r="P63" s="5"/>
      <c r="Q63" s="2" t="str">
        <f>INDEX(Table3[#All], MATCH(Table1[[#This Row],[Dept_Id]], Table3[[#All],[Dept_Id]], 0), 1)</f>
        <v>Sales</v>
      </c>
      <c r="R63" s="22" t="str">
        <f>IF(Table1[[#This Row],[Left?]] = 1, (Table1[[#This Row],[New_Last_Date]]-Table1[[#This Row],[New_DoJ]])/365.25, "")</f>
        <v/>
      </c>
      <c r="S63" s="2" cm="1">
        <f t="array" ref="S6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63" s="2" t="str">
        <f>IF(Table1[[#This Row],[New_DoJ]] &gt;= EDATE( MAX(Table1[New_DoJ]), -24), "Yes", "No")</f>
        <v>No</v>
      </c>
    </row>
    <row r="64" spans="1:20" x14ac:dyDescent="0.3">
      <c r="A64" s="4">
        <v>10040</v>
      </c>
      <c r="B64" s="5" t="s">
        <v>211</v>
      </c>
      <c r="C64" s="5" t="s">
        <v>212</v>
      </c>
      <c r="D64" s="5" t="s">
        <v>213</v>
      </c>
      <c r="E64" s="5" t="s">
        <v>33</v>
      </c>
      <c r="F64" s="15">
        <v>34014</v>
      </c>
      <c r="G64" s="5">
        <v>6</v>
      </c>
      <c r="H64" s="5" t="s">
        <v>29</v>
      </c>
      <c r="I64" s="5">
        <v>0</v>
      </c>
      <c r="J64" s="5" t="s">
        <v>24</v>
      </c>
      <c r="K64" s="12">
        <v>52153</v>
      </c>
      <c r="L64" s="5" t="s">
        <v>19</v>
      </c>
      <c r="M64" s="6" t="s">
        <v>20</v>
      </c>
      <c r="N64" s="15">
        <v>21806</v>
      </c>
      <c r="O64" s="15">
        <v>34014</v>
      </c>
      <c r="P64" s="5"/>
      <c r="Q64" s="2" t="str">
        <f>INDEX(Table3[#All], MATCH(Table1[[#This Row],[Dept_Id]], Table3[[#All],[Dept_Id]], 0), 1)</f>
        <v>Development</v>
      </c>
      <c r="R64" s="22" t="str">
        <f>IF(Table1[[#This Row],[Left?]] = 1, (Table1[[#This Row],[New_Last_Date]]-Table1[[#This Row],[New_DoJ]])/365.25, "")</f>
        <v/>
      </c>
      <c r="S64" s="2" cm="1">
        <f t="array" ref="S6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64" s="2" t="str">
        <f>IF(Table1[[#This Row],[New_DoJ]] &gt;= EDATE( MAX(Table1[New_DoJ]), -24), "Yes", "No")</f>
        <v>No</v>
      </c>
    </row>
    <row r="65" spans="1:20" x14ac:dyDescent="0.3">
      <c r="A65" s="4">
        <v>10040</v>
      </c>
      <c r="B65" s="5" t="s">
        <v>211</v>
      </c>
      <c r="C65" s="5" t="s">
        <v>212</v>
      </c>
      <c r="D65" s="5" t="s">
        <v>213</v>
      </c>
      <c r="E65" s="5" t="s">
        <v>33</v>
      </c>
      <c r="F65" s="15">
        <v>34014</v>
      </c>
      <c r="G65" s="5">
        <v>6</v>
      </c>
      <c r="H65" s="5" t="s">
        <v>29</v>
      </c>
      <c r="I65" s="5">
        <v>0</v>
      </c>
      <c r="J65" s="5" t="s">
        <v>24</v>
      </c>
      <c r="K65" s="12">
        <v>52153</v>
      </c>
      <c r="L65" s="5" t="s">
        <v>55</v>
      </c>
      <c r="M65" s="6" t="s">
        <v>20</v>
      </c>
      <c r="N65" s="15">
        <v>21806</v>
      </c>
      <c r="O65" s="15">
        <v>34014</v>
      </c>
      <c r="P65" s="5"/>
      <c r="Q65" s="2" t="str">
        <f>INDEX(Table3[#All], MATCH(Table1[[#This Row],[Dept_Id]], Table3[[#All],[Dept_Id]], 0), 1)</f>
        <v>Research</v>
      </c>
      <c r="R65" s="22" t="str">
        <f>IF(Table1[[#This Row],[Left?]] = 1, (Table1[[#This Row],[New_Last_Date]]-Table1[[#This Row],[New_DoJ]])/365.25, "")</f>
        <v/>
      </c>
      <c r="S65" s="2" cm="1">
        <f t="array" ref="S6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65" s="2" t="str">
        <f>IF(Table1[[#This Row],[New_DoJ]] &gt;= EDATE( MAX(Table1[New_DoJ]), -24), "Yes", "No")</f>
        <v>No</v>
      </c>
    </row>
    <row r="66" spans="1:20" x14ac:dyDescent="0.3">
      <c r="A66" s="4">
        <v>71530</v>
      </c>
      <c r="B66" s="5" t="s">
        <v>214</v>
      </c>
      <c r="C66" s="5" t="s">
        <v>167</v>
      </c>
      <c r="D66" s="5" t="s">
        <v>215</v>
      </c>
      <c r="E66" s="5" t="s">
        <v>16</v>
      </c>
      <c r="F66" s="15">
        <v>32598</v>
      </c>
      <c r="G66" s="5">
        <v>5</v>
      </c>
      <c r="H66" s="5" t="s">
        <v>29</v>
      </c>
      <c r="I66" s="5">
        <v>0</v>
      </c>
      <c r="J66" s="5" t="s">
        <v>24</v>
      </c>
      <c r="K66" s="12">
        <v>69148</v>
      </c>
      <c r="L66" s="5" t="s">
        <v>19</v>
      </c>
      <c r="M66" s="6" t="s">
        <v>20</v>
      </c>
      <c r="N66" s="15">
        <v>21590</v>
      </c>
      <c r="O66" s="15">
        <v>32598</v>
      </c>
      <c r="P66" s="5"/>
      <c r="Q66" s="2" t="str">
        <f>INDEX(Table3[#All], MATCH(Table1[[#This Row],[Dept_Id]], Table3[[#All],[Dept_Id]], 0), 1)</f>
        <v>Development</v>
      </c>
      <c r="R66" s="22" t="str">
        <f>IF(Table1[[#This Row],[Left?]] = 1, (Table1[[#This Row],[New_Last_Date]]-Table1[[#This Row],[New_DoJ]])/365.25, "")</f>
        <v/>
      </c>
      <c r="S66" s="2" cm="1">
        <f t="array" ref="S6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66" s="2" t="str">
        <f>IF(Table1[[#This Row],[New_DoJ]] &gt;= EDATE( MAX(Table1[New_DoJ]), -24), "Yes", "No")</f>
        <v>No</v>
      </c>
    </row>
    <row r="67" spans="1:20" x14ac:dyDescent="0.3">
      <c r="A67" s="4">
        <v>10041</v>
      </c>
      <c r="B67" s="5" t="s">
        <v>216</v>
      </c>
      <c r="C67" s="5" t="s">
        <v>217</v>
      </c>
      <c r="D67" s="5" t="s">
        <v>218</v>
      </c>
      <c r="E67" s="5" t="s">
        <v>33</v>
      </c>
      <c r="F67" s="15">
        <v>32824</v>
      </c>
      <c r="G67" s="5">
        <v>7</v>
      </c>
      <c r="H67" s="5" t="s">
        <v>29</v>
      </c>
      <c r="I67" s="5">
        <v>0</v>
      </c>
      <c r="J67" s="5" t="s">
        <v>24</v>
      </c>
      <c r="K67" s="12">
        <v>56893</v>
      </c>
      <c r="L67" s="5" t="s">
        <v>38</v>
      </c>
      <c r="M67" s="6" t="s">
        <v>39</v>
      </c>
      <c r="N67" s="15">
        <v>21789</v>
      </c>
      <c r="O67" s="15">
        <v>32824</v>
      </c>
      <c r="P67" s="5"/>
      <c r="Q67" s="2" t="str">
        <f>INDEX(Table3[#All], MATCH(Table1[[#This Row],[Dept_Id]], Table3[[#All],[Dept_Id]], 0), 1)</f>
        <v>Sales</v>
      </c>
      <c r="R67" s="22" t="str">
        <f>IF(Table1[[#This Row],[Left?]] = 1, (Table1[[#This Row],[New_Last_Date]]-Table1[[#This Row],[New_DoJ]])/365.25, "")</f>
        <v/>
      </c>
      <c r="S67" s="2" cm="1">
        <f t="array" ref="S6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67" s="2" t="str">
        <f>IF(Table1[[#This Row],[New_DoJ]] &gt;= EDATE( MAX(Table1[New_DoJ]), -24), "Yes", "No")</f>
        <v>No</v>
      </c>
    </row>
    <row r="68" spans="1:20" x14ac:dyDescent="0.3">
      <c r="A68" s="4">
        <v>10042</v>
      </c>
      <c r="B68" s="5" t="s">
        <v>219</v>
      </c>
      <c r="C68" s="5" t="s">
        <v>220</v>
      </c>
      <c r="D68" s="5" t="s">
        <v>221</v>
      </c>
      <c r="E68" s="5" t="s">
        <v>33</v>
      </c>
      <c r="F68" s="15">
        <v>34049</v>
      </c>
      <c r="G68" s="5">
        <v>4</v>
      </c>
      <c r="H68" s="5" t="s">
        <v>34</v>
      </c>
      <c r="I68" s="5">
        <v>0</v>
      </c>
      <c r="J68" s="5" t="s">
        <v>24</v>
      </c>
      <c r="K68" s="12">
        <v>81662</v>
      </c>
      <c r="L68" s="5" t="s">
        <v>92</v>
      </c>
      <c r="M68" s="6" t="s">
        <v>39</v>
      </c>
      <c r="N68" s="15">
        <v>20511</v>
      </c>
      <c r="O68" s="15">
        <v>34049</v>
      </c>
      <c r="P68" s="5"/>
      <c r="Q68" s="2" t="str">
        <f>INDEX(Table3[#All], MATCH(Table1[[#This Row],[Dept_Id]], Table3[[#All],[Dept_Id]], 0), 1)</f>
        <v>Finance</v>
      </c>
      <c r="R68" s="22" t="str">
        <f>IF(Table1[[#This Row],[Left?]] = 1, (Table1[[#This Row],[New_Last_Date]]-Table1[[#This Row],[New_DoJ]])/365.25, "")</f>
        <v/>
      </c>
      <c r="S68" s="2" cm="1">
        <f t="array" ref="S6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68" s="2" t="str">
        <f>IF(Table1[[#This Row],[New_DoJ]] &gt;= EDATE( MAX(Table1[New_DoJ]), -24), "Yes", "No")</f>
        <v>No</v>
      </c>
    </row>
    <row r="69" spans="1:20" x14ac:dyDescent="0.3">
      <c r="A69" s="4">
        <v>427958</v>
      </c>
      <c r="B69" s="5" t="s">
        <v>222</v>
      </c>
      <c r="C69" s="5" t="s">
        <v>223</v>
      </c>
      <c r="D69" s="5" t="s">
        <v>224</v>
      </c>
      <c r="E69" s="5" t="s">
        <v>33</v>
      </c>
      <c r="F69" s="15">
        <v>31178</v>
      </c>
      <c r="G69" s="5">
        <v>10</v>
      </c>
      <c r="H69" s="5" t="s">
        <v>17</v>
      </c>
      <c r="I69" s="5">
        <v>0</v>
      </c>
      <c r="J69" s="5" t="s">
        <v>24</v>
      </c>
      <c r="K69" s="12">
        <v>63377</v>
      </c>
      <c r="L69" s="5" t="s">
        <v>105</v>
      </c>
      <c r="M69" s="6" t="s">
        <v>39</v>
      </c>
      <c r="N69" s="15">
        <v>20943</v>
      </c>
      <c r="O69" s="15">
        <v>31178</v>
      </c>
      <c r="P69" s="5"/>
      <c r="Q69" s="2" t="str">
        <f>INDEX(Table3[#All], MATCH(Table1[[#This Row],[Dept_Id]], Table3[[#All],[Dept_Id]], 0), 1)</f>
        <v>Marketing</v>
      </c>
      <c r="R69" s="22" t="str">
        <f>IF(Table1[[#This Row],[Left?]] = 1, (Table1[[#This Row],[New_Last_Date]]-Table1[[#This Row],[New_DoJ]])/365.25, "")</f>
        <v/>
      </c>
      <c r="S69" s="2" cm="1">
        <f t="array" ref="S6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69" s="2" t="str">
        <f>IF(Table1[[#This Row],[New_DoJ]] &gt;= EDATE( MAX(Table1[New_DoJ]), -24), "Yes", "No")</f>
        <v>No</v>
      </c>
    </row>
    <row r="70" spans="1:20" x14ac:dyDescent="0.3">
      <c r="A70" s="4">
        <v>10043</v>
      </c>
      <c r="B70" s="5" t="s">
        <v>225</v>
      </c>
      <c r="C70" s="5" t="s">
        <v>226</v>
      </c>
      <c r="D70" s="5" t="s">
        <v>227</v>
      </c>
      <c r="E70" s="5" t="s">
        <v>16</v>
      </c>
      <c r="F70" s="15">
        <v>33166</v>
      </c>
      <c r="G70" s="5">
        <v>6</v>
      </c>
      <c r="H70" s="5" t="s">
        <v>17</v>
      </c>
      <c r="I70" s="5">
        <v>0</v>
      </c>
      <c r="J70" s="5" t="s">
        <v>24</v>
      </c>
      <c r="K70" s="12">
        <v>49324</v>
      </c>
      <c r="L70" s="5" t="s">
        <v>19</v>
      </c>
      <c r="M70" s="6" t="s">
        <v>20</v>
      </c>
      <c r="N70" s="15">
        <v>22178</v>
      </c>
      <c r="O70" s="15">
        <v>33166</v>
      </c>
      <c r="P70" s="5"/>
      <c r="Q70" s="2" t="str">
        <f>INDEX(Table3[#All], MATCH(Table1[[#This Row],[Dept_Id]], Table3[[#All],[Dept_Id]], 0), 1)</f>
        <v>Development</v>
      </c>
      <c r="R70" s="22" t="str">
        <f>IF(Table1[[#This Row],[Left?]] = 1, (Table1[[#This Row],[New_Last_Date]]-Table1[[#This Row],[New_DoJ]])/365.25, "")</f>
        <v/>
      </c>
      <c r="S70" s="2" cm="1">
        <f t="array" ref="S7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70" s="2" t="str">
        <f>IF(Table1[[#This Row],[New_DoJ]] &gt;= EDATE( MAX(Table1[New_DoJ]), -24), "Yes", "No")</f>
        <v>No</v>
      </c>
    </row>
    <row r="71" spans="1:20" x14ac:dyDescent="0.3">
      <c r="A71" s="4">
        <v>10044</v>
      </c>
      <c r="B71" s="5" t="s">
        <v>228</v>
      </c>
      <c r="C71" s="5" t="s">
        <v>229</v>
      </c>
      <c r="D71" s="5" t="s">
        <v>230</v>
      </c>
      <c r="E71" s="5" t="s">
        <v>33</v>
      </c>
      <c r="F71" s="15">
        <v>34475</v>
      </c>
      <c r="G71" s="5">
        <v>1</v>
      </c>
      <c r="H71" s="5" t="s">
        <v>17</v>
      </c>
      <c r="I71" s="5">
        <v>0</v>
      </c>
      <c r="J71" s="5" t="s">
        <v>24</v>
      </c>
      <c r="K71" s="12">
        <v>40919</v>
      </c>
      <c r="L71" s="5" t="s">
        <v>25</v>
      </c>
      <c r="M71" s="6" t="s">
        <v>129</v>
      </c>
      <c r="N71" s="15">
        <v>22545</v>
      </c>
      <c r="O71" s="15">
        <v>34475</v>
      </c>
      <c r="P71" s="5"/>
      <c r="Q71" s="2" t="str">
        <f>INDEX(Table3[#All], MATCH(Table1[[#This Row],[Dept_Id]], Table3[[#All],[Dept_Id]], 0), 1)</f>
        <v>Production</v>
      </c>
      <c r="R71" s="22" t="str">
        <f>IF(Table1[[#This Row],[Left?]] = 1, (Table1[[#This Row],[New_Last_Date]]-Table1[[#This Row],[New_DoJ]])/365.25, "")</f>
        <v/>
      </c>
      <c r="S71" s="2" cm="1">
        <f t="array" ref="S7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71" s="2" t="str">
        <f>IF(Table1[[#This Row],[New_DoJ]] &gt;= EDATE( MAX(Table1[New_DoJ]), -24), "Yes", "No")</f>
        <v>No</v>
      </c>
    </row>
    <row r="72" spans="1:20" x14ac:dyDescent="0.3">
      <c r="A72" s="4">
        <v>280408</v>
      </c>
      <c r="B72" s="5" t="s">
        <v>231</v>
      </c>
      <c r="C72" s="5" t="s">
        <v>232</v>
      </c>
      <c r="D72" s="5" t="s">
        <v>233</v>
      </c>
      <c r="E72" s="5" t="s">
        <v>16</v>
      </c>
      <c r="F72" s="15">
        <v>32079</v>
      </c>
      <c r="G72" s="5">
        <v>7</v>
      </c>
      <c r="H72" s="5" t="s">
        <v>29</v>
      </c>
      <c r="I72" s="5">
        <v>0</v>
      </c>
      <c r="J72" s="5" t="s">
        <v>24</v>
      </c>
      <c r="K72" s="12">
        <v>75963</v>
      </c>
      <c r="L72" s="5" t="s">
        <v>38</v>
      </c>
      <c r="M72" s="6" t="s">
        <v>39</v>
      </c>
      <c r="N72" s="15">
        <v>23639</v>
      </c>
      <c r="O72" s="15">
        <v>32079</v>
      </c>
      <c r="P72" s="5"/>
      <c r="Q72" s="2" t="str">
        <f>INDEX(Table3[#All], MATCH(Table1[[#This Row],[Dept_Id]], Table3[[#All],[Dept_Id]], 0), 1)</f>
        <v>Sales</v>
      </c>
      <c r="R72" s="22" t="str">
        <f>IF(Table1[[#This Row],[Left?]] = 1, (Table1[[#This Row],[New_Last_Date]]-Table1[[#This Row],[New_DoJ]])/365.25, "")</f>
        <v/>
      </c>
      <c r="S72" s="2" cm="1">
        <f t="array" ref="S7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72" s="2" t="str">
        <f>IF(Table1[[#This Row],[New_DoJ]] &gt;= EDATE( MAX(Table1[New_DoJ]), -24), "Yes", "No")</f>
        <v>No</v>
      </c>
    </row>
    <row r="73" spans="1:20" x14ac:dyDescent="0.3">
      <c r="A73" s="4">
        <v>10045</v>
      </c>
      <c r="B73" s="5" t="s">
        <v>234</v>
      </c>
      <c r="C73" s="5" t="s">
        <v>235</v>
      </c>
      <c r="D73" s="5" t="s">
        <v>236</v>
      </c>
      <c r="E73" s="5" t="s">
        <v>16</v>
      </c>
      <c r="F73" s="15">
        <v>32753</v>
      </c>
      <c r="G73" s="5">
        <v>5</v>
      </c>
      <c r="H73" s="5" t="s">
        <v>17</v>
      </c>
      <c r="I73" s="5">
        <v>0</v>
      </c>
      <c r="J73" s="5" t="s">
        <v>24</v>
      </c>
      <c r="K73" s="12">
        <v>41971</v>
      </c>
      <c r="L73" s="5" t="s">
        <v>25</v>
      </c>
      <c r="M73" s="6" t="s">
        <v>50</v>
      </c>
      <c r="N73" s="15">
        <v>21046</v>
      </c>
      <c r="O73" s="15">
        <v>32753</v>
      </c>
      <c r="P73" s="5"/>
      <c r="Q73" s="2" t="str">
        <f>INDEX(Table3[#All], MATCH(Table1[[#This Row],[Dept_Id]], Table3[[#All],[Dept_Id]], 0), 1)</f>
        <v>Production</v>
      </c>
      <c r="R73" s="22" t="str">
        <f>IF(Table1[[#This Row],[Left?]] = 1, (Table1[[#This Row],[New_Last_Date]]-Table1[[#This Row],[New_DoJ]])/365.25, "")</f>
        <v/>
      </c>
      <c r="S73" s="2" cm="1">
        <f t="array" ref="S7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73" s="2" t="str">
        <f>IF(Table1[[#This Row],[New_DoJ]] &gt;= EDATE( MAX(Table1[New_DoJ]), -24), "Yes", "No")</f>
        <v>No</v>
      </c>
    </row>
    <row r="74" spans="1:20" x14ac:dyDescent="0.3">
      <c r="A74" s="4">
        <v>10046</v>
      </c>
      <c r="B74" s="5" t="s">
        <v>237</v>
      </c>
      <c r="C74" s="5" t="s">
        <v>238</v>
      </c>
      <c r="D74" s="5" t="s">
        <v>239</v>
      </c>
      <c r="E74" s="5" t="s">
        <v>16</v>
      </c>
      <c r="F74" s="15">
        <v>33775</v>
      </c>
      <c r="G74" s="5">
        <v>1</v>
      </c>
      <c r="H74" s="5" t="s">
        <v>34</v>
      </c>
      <c r="I74" s="5">
        <v>0</v>
      </c>
      <c r="J74" s="5" t="s">
        <v>24</v>
      </c>
      <c r="K74" s="12">
        <v>40000</v>
      </c>
      <c r="L74" s="5" t="s">
        <v>55</v>
      </c>
      <c r="M74" s="6" t="s">
        <v>39</v>
      </c>
      <c r="N74" s="15">
        <v>22120</v>
      </c>
      <c r="O74" s="15">
        <v>33775</v>
      </c>
      <c r="P74" s="5"/>
      <c r="Q74" s="2" t="str">
        <f>INDEX(Table3[#All], MATCH(Table1[[#This Row],[Dept_Id]], Table3[[#All],[Dept_Id]], 0), 1)</f>
        <v>Research</v>
      </c>
      <c r="R74" s="22" t="str">
        <f>IF(Table1[[#This Row],[Left?]] = 1, (Table1[[#This Row],[New_Last_Date]]-Table1[[#This Row],[New_DoJ]])/365.25, "")</f>
        <v/>
      </c>
      <c r="S74" s="2" cm="1">
        <f t="array" ref="S7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74" s="2" t="str">
        <f>IF(Table1[[#This Row],[New_DoJ]] &gt;= EDATE( MAX(Table1[New_DoJ]), -24), "Yes", "No")</f>
        <v>No</v>
      </c>
    </row>
    <row r="75" spans="1:20" x14ac:dyDescent="0.3">
      <c r="A75" s="4">
        <v>104639</v>
      </c>
      <c r="B75" s="5" t="s">
        <v>240</v>
      </c>
      <c r="C75" s="5" t="s">
        <v>241</v>
      </c>
      <c r="D75" s="5" t="s">
        <v>242</v>
      </c>
      <c r="E75" s="5" t="s">
        <v>33</v>
      </c>
      <c r="F75" s="15">
        <v>36417</v>
      </c>
      <c r="G75" s="5">
        <v>6</v>
      </c>
      <c r="H75" s="5" t="s">
        <v>34</v>
      </c>
      <c r="I75" s="5">
        <v>0</v>
      </c>
      <c r="J75" s="5" t="s">
        <v>24</v>
      </c>
      <c r="K75" s="12">
        <v>40000</v>
      </c>
      <c r="L75" s="5" t="s">
        <v>19</v>
      </c>
      <c r="M75" s="6" t="s">
        <v>20</v>
      </c>
      <c r="N75" s="15">
        <v>22086</v>
      </c>
      <c r="O75" s="15">
        <v>36417</v>
      </c>
      <c r="P75" s="5"/>
      <c r="Q75" s="2" t="str">
        <f>INDEX(Table3[#All], MATCH(Table1[[#This Row],[Dept_Id]], Table3[[#All],[Dept_Id]], 0), 1)</f>
        <v>Development</v>
      </c>
      <c r="R75" s="22" t="str">
        <f>IF(Table1[[#This Row],[Left?]] = 1, (Table1[[#This Row],[New_Last_Date]]-Table1[[#This Row],[New_DoJ]])/365.25, "")</f>
        <v/>
      </c>
      <c r="S75" s="2" cm="1">
        <f t="array" ref="S7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75" s="2" t="str">
        <f>IF(Table1[[#This Row],[New_DoJ]] &gt;= EDATE( MAX(Table1[New_DoJ]), -24), "Yes", "No")</f>
        <v>Yes</v>
      </c>
    </row>
    <row r="76" spans="1:20" x14ac:dyDescent="0.3">
      <c r="A76" s="4">
        <v>104639</v>
      </c>
      <c r="B76" s="5" t="s">
        <v>240</v>
      </c>
      <c r="C76" s="5" t="s">
        <v>241</v>
      </c>
      <c r="D76" s="5" t="s">
        <v>242</v>
      </c>
      <c r="E76" s="5" t="s">
        <v>33</v>
      </c>
      <c r="F76" s="15">
        <v>36417</v>
      </c>
      <c r="G76" s="5">
        <v>6</v>
      </c>
      <c r="H76" s="5" t="s">
        <v>34</v>
      </c>
      <c r="I76" s="5">
        <v>0</v>
      </c>
      <c r="J76" s="5" t="s">
        <v>24</v>
      </c>
      <c r="K76" s="12">
        <v>40000</v>
      </c>
      <c r="L76" s="5" t="s">
        <v>55</v>
      </c>
      <c r="M76" s="6" t="s">
        <v>20</v>
      </c>
      <c r="N76" s="15">
        <v>22086</v>
      </c>
      <c r="O76" s="15">
        <v>36417</v>
      </c>
      <c r="P76" s="5"/>
      <c r="Q76" s="2" t="str">
        <f>INDEX(Table3[#All], MATCH(Table1[[#This Row],[Dept_Id]], Table3[[#All],[Dept_Id]], 0), 1)</f>
        <v>Research</v>
      </c>
      <c r="R76" s="22" t="str">
        <f>IF(Table1[[#This Row],[Left?]] = 1, (Table1[[#This Row],[New_Last_Date]]-Table1[[#This Row],[New_DoJ]])/365.25, "")</f>
        <v/>
      </c>
      <c r="S76" s="2" cm="1">
        <f t="array" ref="S7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76" s="2" t="str">
        <f>IF(Table1[[#This Row],[New_DoJ]] &gt;= EDATE( MAX(Table1[New_DoJ]), -24), "Yes", "No")</f>
        <v>Yes</v>
      </c>
    </row>
    <row r="77" spans="1:20" x14ac:dyDescent="0.3">
      <c r="A77" s="4">
        <v>10047</v>
      </c>
      <c r="B77" s="5" t="s">
        <v>243</v>
      </c>
      <c r="C77" s="5" t="s">
        <v>244</v>
      </c>
      <c r="D77" s="5" t="s">
        <v>245</v>
      </c>
      <c r="E77" s="5" t="s">
        <v>16</v>
      </c>
      <c r="F77" s="15">
        <v>32598</v>
      </c>
      <c r="G77" s="5">
        <v>10</v>
      </c>
      <c r="H77" s="5" t="s">
        <v>17</v>
      </c>
      <c r="I77" s="5">
        <v>1</v>
      </c>
      <c r="J77" s="5" t="s">
        <v>246</v>
      </c>
      <c r="K77" s="12">
        <v>54982</v>
      </c>
      <c r="L77" s="5" t="s">
        <v>25</v>
      </c>
      <c r="M77" s="6" t="s">
        <v>20</v>
      </c>
      <c r="N77" s="15">
        <v>19174</v>
      </c>
      <c r="O77" s="15">
        <v>32598</v>
      </c>
      <c r="P77" s="15">
        <v>33351</v>
      </c>
      <c r="Q77" s="2" t="str">
        <f>INDEX(Table3[#All], MATCH(Table1[[#This Row],[Dept_Id]], Table3[[#All],[Dept_Id]], 0), 1)</f>
        <v>Production</v>
      </c>
      <c r="R77" s="22">
        <f>IF(Table1[[#This Row],[Left?]] = 1, (Table1[[#This Row],[New_Last_Date]]-Table1[[#This Row],[New_DoJ]])/365.25, "")</f>
        <v>2.0616016427104724</v>
      </c>
      <c r="S77" s="2" cm="1">
        <f t="array" ref="S7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77" s="2" t="str">
        <f>IF(Table1[[#This Row],[New_DoJ]] &gt;= EDATE( MAX(Table1[New_DoJ]), -24), "Yes", "No")</f>
        <v>No</v>
      </c>
    </row>
    <row r="78" spans="1:20" x14ac:dyDescent="0.3">
      <c r="A78" s="4">
        <v>10048</v>
      </c>
      <c r="B78" s="5" t="s">
        <v>247</v>
      </c>
      <c r="C78" s="5" t="s">
        <v>248</v>
      </c>
      <c r="D78" s="5" t="s">
        <v>249</v>
      </c>
      <c r="E78" s="5" t="s">
        <v>16</v>
      </c>
      <c r="F78" s="15">
        <v>31102</v>
      </c>
      <c r="G78" s="5">
        <v>9</v>
      </c>
      <c r="H78" s="5" t="s">
        <v>34</v>
      </c>
      <c r="I78" s="5">
        <v>0</v>
      </c>
      <c r="J78" s="5" t="s">
        <v>24</v>
      </c>
      <c r="K78" s="12">
        <v>40000</v>
      </c>
      <c r="L78" s="5" t="s">
        <v>19</v>
      </c>
      <c r="M78" s="6" t="s">
        <v>50</v>
      </c>
      <c r="N78" s="15">
        <v>23203</v>
      </c>
      <c r="O78" s="15">
        <v>31102</v>
      </c>
      <c r="P78" s="5"/>
      <c r="Q78" s="2" t="str">
        <f>INDEX(Table3[#All], MATCH(Table1[[#This Row],[Dept_Id]], Table3[[#All],[Dept_Id]], 0), 1)</f>
        <v>Development</v>
      </c>
      <c r="R78" s="22" t="str">
        <f>IF(Table1[[#This Row],[Left?]] = 1, (Table1[[#This Row],[New_Last_Date]]-Table1[[#This Row],[New_DoJ]])/365.25, "")</f>
        <v/>
      </c>
      <c r="S78" s="2" cm="1">
        <f t="array" ref="S7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78" s="2" t="str">
        <f>IF(Table1[[#This Row],[New_DoJ]] &gt;= EDATE( MAX(Table1[New_DoJ]), -24), "Yes", "No")</f>
        <v>No</v>
      </c>
    </row>
    <row r="79" spans="1:20" x14ac:dyDescent="0.3">
      <c r="A79" s="4">
        <v>214555</v>
      </c>
      <c r="B79" s="5" t="s">
        <v>250</v>
      </c>
      <c r="C79" s="5" t="s">
        <v>251</v>
      </c>
      <c r="D79" s="5" t="s">
        <v>252</v>
      </c>
      <c r="E79" s="5" t="s">
        <v>33</v>
      </c>
      <c r="F79" s="15">
        <v>32077</v>
      </c>
      <c r="G79" s="5">
        <v>8</v>
      </c>
      <c r="H79" s="5" t="s">
        <v>29</v>
      </c>
      <c r="I79" s="5">
        <v>0</v>
      </c>
      <c r="J79" s="5" t="s">
        <v>24</v>
      </c>
      <c r="K79" s="12">
        <v>40000</v>
      </c>
      <c r="L79" s="5" t="s">
        <v>19</v>
      </c>
      <c r="M79" s="6" t="s">
        <v>20</v>
      </c>
      <c r="N79" s="15">
        <v>22197</v>
      </c>
      <c r="O79" s="15">
        <v>32077</v>
      </c>
      <c r="P79" s="5"/>
      <c r="Q79" s="2" t="str">
        <f>INDEX(Table3[#All], MATCH(Table1[[#This Row],[Dept_Id]], Table3[[#All],[Dept_Id]], 0), 1)</f>
        <v>Development</v>
      </c>
      <c r="R79" s="22" t="str">
        <f>IF(Table1[[#This Row],[Left?]] = 1, (Table1[[#This Row],[New_Last_Date]]-Table1[[#This Row],[New_DoJ]])/365.25, "")</f>
        <v/>
      </c>
      <c r="S79" s="2" cm="1">
        <f t="array" ref="S7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79" s="2" t="str">
        <f>IF(Table1[[#This Row],[New_DoJ]] &gt;= EDATE( MAX(Table1[New_DoJ]), -24), "Yes", "No")</f>
        <v>No</v>
      </c>
    </row>
    <row r="80" spans="1:20" x14ac:dyDescent="0.3">
      <c r="A80" s="4">
        <v>10049</v>
      </c>
      <c r="B80" s="5" t="s">
        <v>253</v>
      </c>
      <c r="C80" s="5" t="s">
        <v>254</v>
      </c>
      <c r="D80" s="5" t="s">
        <v>255</v>
      </c>
      <c r="E80" s="5" t="s">
        <v>33</v>
      </c>
      <c r="F80" s="15">
        <v>33728</v>
      </c>
      <c r="G80" s="5">
        <v>3</v>
      </c>
      <c r="H80" s="5" t="s">
        <v>34</v>
      </c>
      <c r="I80" s="5">
        <v>0</v>
      </c>
      <c r="J80" s="5" t="s">
        <v>24</v>
      </c>
      <c r="K80" s="12">
        <v>40000</v>
      </c>
      <c r="L80" s="5" t="s">
        <v>77</v>
      </c>
      <c r="M80" s="6" t="s">
        <v>39</v>
      </c>
      <c r="N80" s="15">
        <v>22395</v>
      </c>
      <c r="O80" s="15">
        <v>33728</v>
      </c>
      <c r="P80" s="5"/>
      <c r="Q80" s="2" t="str">
        <f>INDEX(Table3[#All], MATCH(Table1[[#This Row],[Dept_Id]], Table3[[#All],[Dept_Id]], 0), 1)</f>
        <v>Customer Service</v>
      </c>
      <c r="R80" s="22" t="str">
        <f>IF(Table1[[#This Row],[Left?]] = 1, (Table1[[#This Row],[New_Last_Date]]-Table1[[#This Row],[New_DoJ]])/365.25, "")</f>
        <v/>
      </c>
      <c r="S80" s="2" cm="1">
        <f t="array" ref="S8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80" s="2" t="str">
        <f>IF(Table1[[#This Row],[New_DoJ]] &gt;= EDATE( MAX(Table1[New_DoJ]), -24), "Yes", "No")</f>
        <v>No</v>
      </c>
    </row>
    <row r="81" spans="1:20" x14ac:dyDescent="0.3">
      <c r="A81" s="4">
        <v>10050</v>
      </c>
      <c r="B81" s="5" t="s">
        <v>256</v>
      </c>
      <c r="C81" s="5" t="s">
        <v>257</v>
      </c>
      <c r="D81" s="5" t="s">
        <v>258</v>
      </c>
      <c r="E81" s="5" t="s">
        <v>16</v>
      </c>
      <c r="F81" s="15">
        <v>33232</v>
      </c>
      <c r="G81" s="5">
        <v>6</v>
      </c>
      <c r="H81" s="5" t="s">
        <v>17</v>
      </c>
      <c r="I81" s="5">
        <v>0</v>
      </c>
      <c r="J81" s="5" t="s">
        <v>24</v>
      </c>
      <c r="K81" s="12">
        <v>74366</v>
      </c>
      <c r="L81" s="5" t="s">
        <v>92</v>
      </c>
      <c r="M81" s="6" t="s">
        <v>39</v>
      </c>
      <c r="N81" s="15">
        <v>21326</v>
      </c>
      <c r="O81" s="15">
        <v>33232</v>
      </c>
      <c r="P81" s="5"/>
      <c r="Q81" s="2" t="str">
        <f>INDEX(Table3[#All], MATCH(Table1[[#This Row],[Dept_Id]], Table3[[#All],[Dept_Id]], 0), 1)</f>
        <v>Finance</v>
      </c>
      <c r="R81" s="22" t="str">
        <f>IF(Table1[[#This Row],[Left?]] = 1, (Table1[[#This Row],[New_Last_Date]]-Table1[[#This Row],[New_DoJ]])/365.25, "")</f>
        <v/>
      </c>
      <c r="S81" s="2" cm="1">
        <f t="array" ref="S8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81" s="2" t="str">
        <f>IF(Table1[[#This Row],[New_DoJ]] &gt;= EDATE( MAX(Table1[New_DoJ]), -24), "Yes", "No")</f>
        <v>No</v>
      </c>
    </row>
    <row r="82" spans="1:20" x14ac:dyDescent="0.3">
      <c r="A82" s="4">
        <v>10050</v>
      </c>
      <c r="B82" s="5" t="s">
        <v>256</v>
      </c>
      <c r="C82" s="5" t="s">
        <v>257</v>
      </c>
      <c r="D82" s="5" t="s">
        <v>258</v>
      </c>
      <c r="E82" s="5" t="s">
        <v>16</v>
      </c>
      <c r="F82" s="15">
        <v>33232</v>
      </c>
      <c r="G82" s="5">
        <v>6</v>
      </c>
      <c r="H82" s="5" t="s">
        <v>17</v>
      </c>
      <c r="I82" s="5">
        <v>0</v>
      </c>
      <c r="J82" s="5" t="s">
        <v>24</v>
      </c>
      <c r="K82" s="12">
        <v>74366</v>
      </c>
      <c r="L82" s="5" t="s">
        <v>38</v>
      </c>
      <c r="M82" s="6" t="s">
        <v>39</v>
      </c>
      <c r="N82" s="15">
        <v>21326</v>
      </c>
      <c r="O82" s="15">
        <v>33232</v>
      </c>
      <c r="P82" s="5"/>
      <c r="Q82" s="2" t="str">
        <f>INDEX(Table3[#All], MATCH(Table1[[#This Row],[Dept_Id]], Table3[[#All],[Dept_Id]], 0), 1)</f>
        <v>Sales</v>
      </c>
      <c r="R82" s="22" t="str">
        <f>IF(Table1[[#This Row],[Left?]] = 1, (Table1[[#This Row],[New_Last_Date]]-Table1[[#This Row],[New_DoJ]])/365.25, "")</f>
        <v/>
      </c>
      <c r="S82" s="2" cm="1">
        <f t="array" ref="S8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82" s="2" t="str">
        <f>IF(Table1[[#This Row],[New_DoJ]] &gt;= EDATE( MAX(Table1[New_DoJ]), -24), "Yes", "No")</f>
        <v>No</v>
      </c>
    </row>
    <row r="83" spans="1:20" x14ac:dyDescent="0.3">
      <c r="A83" s="4">
        <v>229010</v>
      </c>
      <c r="B83" s="5" t="s">
        <v>259</v>
      </c>
      <c r="C83" s="5" t="s">
        <v>260</v>
      </c>
      <c r="D83" s="5" t="s">
        <v>261</v>
      </c>
      <c r="E83" s="5" t="s">
        <v>16</v>
      </c>
      <c r="F83" s="15">
        <v>33000</v>
      </c>
      <c r="G83" s="5">
        <v>9</v>
      </c>
      <c r="H83" s="5" t="s">
        <v>34</v>
      </c>
      <c r="I83" s="5">
        <v>0</v>
      </c>
      <c r="J83" s="5" t="s">
        <v>24</v>
      </c>
      <c r="K83" s="12">
        <v>40000</v>
      </c>
      <c r="L83" s="5" t="s">
        <v>43</v>
      </c>
      <c r="M83" s="6" t="s">
        <v>39</v>
      </c>
      <c r="N83" s="15">
        <v>22597</v>
      </c>
      <c r="O83" s="15">
        <v>33000</v>
      </c>
      <c r="P83" s="5"/>
      <c r="Q83" s="2" t="str">
        <f>INDEX(Table3[#All], MATCH(Table1[[#This Row],[Dept_Id]], Table3[[#All],[Dept_Id]], 0), 1)</f>
        <v>Human Resources</v>
      </c>
      <c r="R83" s="22" t="str">
        <f>IF(Table1[[#This Row],[Left?]] = 1, (Table1[[#This Row],[New_Last_Date]]-Table1[[#This Row],[New_DoJ]])/365.25, "")</f>
        <v/>
      </c>
      <c r="S83" s="2" cm="1">
        <f t="array" ref="S8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83" s="2" t="str">
        <f>IF(Table1[[#This Row],[New_DoJ]] &gt;= EDATE( MAX(Table1[New_DoJ]), -24), "Yes", "No")</f>
        <v>No</v>
      </c>
    </row>
    <row r="84" spans="1:20" x14ac:dyDescent="0.3">
      <c r="A84" s="4">
        <v>10051</v>
      </c>
      <c r="B84" s="5" t="s">
        <v>262</v>
      </c>
      <c r="C84" s="5" t="s">
        <v>263</v>
      </c>
      <c r="D84" s="5" t="s">
        <v>264</v>
      </c>
      <c r="E84" s="5" t="s">
        <v>16</v>
      </c>
      <c r="F84" s="15">
        <v>33892</v>
      </c>
      <c r="G84" s="5">
        <v>2</v>
      </c>
      <c r="H84" s="5" t="s">
        <v>29</v>
      </c>
      <c r="I84" s="5">
        <v>0</v>
      </c>
      <c r="J84" s="5" t="s">
        <v>24</v>
      </c>
      <c r="K84" s="12">
        <v>48817</v>
      </c>
      <c r="L84" s="5" t="s">
        <v>25</v>
      </c>
      <c r="M84" s="6" t="s">
        <v>20</v>
      </c>
      <c r="N84" s="15">
        <v>19568</v>
      </c>
      <c r="O84" s="15">
        <v>33892</v>
      </c>
      <c r="P84" s="5"/>
      <c r="Q84" s="2" t="str">
        <f>INDEX(Table3[#All], MATCH(Table1[[#This Row],[Dept_Id]], Table3[[#All],[Dept_Id]], 0), 1)</f>
        <v>Production</v>
      </c>
      <c r="R84" s="22" t="str">
        <f>IF(Table1[[#This Row],[Left?]] = 1, (Table1[[#This Row],[New_Last_Date]]-Table1[[#This Row],[New_DoJ]])/365.25, "")</f>
        <v/>
      </c>
      <c r="S84" s="2" cm="1">
        <f t="array" ref="S8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84" s="2" t="str">
        <f>IF(Table1[[#This Row],[New_DoJ]] &gt;= EDATE( MAX(Table1[New_DoJ]), -24), "Yes", "No")</f>
        <v>No</v>
      </c>
    </row>
    <row r="85" spans="1:20" x14ac:dyDescent="0.3">
      <c r="A85" s="4">
        <v>35916</v>
      </c>
      <c r="B85" s="5" t="s">
        <v>265</v>
      </c>
      <c r="C85" s="5" t="s">
        <v>266</v>
      </c>
      <c r="D85" s="5" t="s">
        <v>267</v>
      </c>
      <c r="E85" s="5" t="s">
        <v>33</v>
      </c>
      <c r="F85" s="15">
        <v>31126</v>
      </c>
      <c r="G85" s="5">
        <v>1</v>
      </c>
      <c r="H85" s="5" t="s">
        <v>29</v>
      </c>
      <c r="I85" s="5">
        <v>0</v>
      </c>
      <c r="J85" s="5" t="s">
        <v>24</v>
      </c>
      <c r="K85" s="12">
        <v>40000</v>
      </c>
      <c r="L85" s="5" t="s">
        <v>19</v>
      </c>
      <c r="M85" s="6" t="s">
        <v>20</v>
      </c>
      <c r="N85" s="15">
        <v>19586</v>
      </c>
      <c r="O85" s="15">
        <v>31126</v>
      </c>
      <c r="P85" s="5"/>
      <c r="Q85" s="2" t="str">
        <f>INDEX(Table3[#All], MATCH(Table1[[#This Row],[Dept_Id]], Table3[[#All],[Dept_Id]], 0), 1)</f>
        <v>Development</v>
      </c>
      <c r="R85" s="22" t="str">
        <f>IF(Table1[[#This Row],[Left?]] = 1, (Table1[[#This Row],[New_Last_Date]]-Table1[[#This Row],[New_DoJ]])/365.25, "")</f>
        <v/>
      </c>
      <c r="S85" s="2" cm="1">
        <f t="array" ref="S8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85" s="2" t="str">
        <f>IF(Table1[[#This Row],[New_DoJ]] &gt;= EDATE( MAX(Table1[New_DoJ]), -24), "Yes", "No")</f>
        <v>No</v>
      </c>
    </row>
    <row r="86" spans="1:20" x14ac:dyDescent="0.3">
      <c r="A86" s="4">
        <v>10052</v>
      </c>
      <c r="B86" s="5" t="s">
        <v>268</v>
      </c>
      <c r="C86" s="5" t="s">
        <v>269</v>
      </c>
      <c r="D86" s="5" t="s">
        <v>270</v>
      </c>
      <c r="E86" s="5" t="s">
        <v>16</v>
      </c>
      <c r="F86" s="15">
        <v>32284</v>
      </c>
      <c r="G86" s="5">
        <v>5</v>
      </c>
      <c r="H86" s="5" t="s">
        <v>34</v>
      </c>
      <c r="I86" s="5">
        <v>0</v>
      </c>
      <c r="J86" s="5" t="s">
        <v>24</v>
      </c>
      <c r="K86" s="12">
        <v>57212</v>
      </c>
      <c r="L86" s="5" t="s">
        <v>55</v>
      </c>
      <c r="M86" s="6" t="s">
        <v>39</v>
      </c>
      <c r="N86" s="15">
        <v>22338</v>
      </c>
      <c r="O86" s="15">
        <v>32284</v>
      </c>
      <c r="P86" s="5"/>
      <c r="Q86" s="2" t="str">
        <f>INDEX(Table3[#All], MATCH(Table1[[#This Row],[Dept_Id]], Table3[[#All],[Dept_Id]], 0), 1)</f>
        <v>Research</v>
      </c>
      <c r="R86" s="22" t="str">
        <f>IF(Table1[[#This Row],[Left?]] = 1, (Table1[[#This Row],[New_Last_Date]]-Table1[[#This Row],[New_DoJ]])/365.25, "")</f>
        <v/>
      </c>
      <c r="S86" s="2" cm="1">
        <f t="array" ref="S8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86" s="2" t="str">
        <f>IF(Table1[[#This Row],[New_DoJ]] &gt;= EDATE( MAX(Table1[New_DoJ]), -24), "Yes", "No")</f>
        <v>No</v>
      </c>
    </row>
    <row r="87" spans="1:20" x14ac:dyDescent="0.3">
      <c r="A87" s="4">
        <v>10053</v>
      </c>
      <c r="B87" s="5" t="s">
        <v>271</v>
      </c>
      <c r="C87" s="5" t="s">
        <v>272</v>
      </c>
      <c r="D87" s="5" t="s">
        <v>273</v>
      </c>
      <c r="E87" s="5" t="s">
        <v>33</v>
      </c>
      <c r="F87" s="15">
        <v>31447</v>
      </c>
      <c r="G87" s="5">
        <v>4</v>
      </c>
      <c r="H87" s="5" t="s">
        <v>34</v>
      </c>
      <c r="I87" s="5">
        <v>0</v>
      </c>
      <c r="J87" s="5" t="s">
        <v>24</v>
      </c>
      <c r="K87" s="12">
        <v>67854</v>
      </c>
      <c r="L87" s="5" t="s">
        <v>38</v>
      </c>
      <c r="M87" s="6" t="s">
        <v>87</v>
      </c>
      <c r="N87" s="15">
        <v>19980</v>
      </c>
      <c r="O87" s="15">
        <v>31447</v>
      </c>
      <c r="P87" s="5"/>
      <c r="Q87" s="2" t="str">
        <f>INDEX(Table3[#All], MATCH(Table1[[#This Row],[Dept_Id]], Table3[[#All],[Dept_Id]], 0), 1)</f>
        <v>Sales</v>
      </c>
      <c r="R87" s="22" t="str">
        <f>IF(Table1[[#This Row],[Left?]] = 1, (Table1[[#This Row],[New_Last_Date]]-Table1[[#This Row],[New_DoJ]])/365.25, "")</f>
        <v/>
      </c>
      <c r="S87" s="2" cm="1">
        <f t="array" ref="S8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87" s="2" t="str">
        <f>IF(Table1[[#This Row],[New_DoJ]] &gt;= EDATE( MAX(Table1[New_DoJ]), -24), "Yes", "No")</f>
        <v>No</v>
      </c>
    </row>
    <row r="88" spans="1:20" x14ac:dyDescent="0.3">
      <c r="A88" s="4">
        <v>61583</v>
      </c>
      <c r="B88" s="5" t="s">
        <v>274</v>
      </c>
      <c r="C88" s="5" t="s">
        <v>275</v>
      </c>
      <c r="D88" s="5" t="s">
        <v>276</v>
      </c>
      <c r="E88" s="5" t="s">
        <v>16</v>
      </c>
      <c r="F88" s="15">
        <v>31596</v>
      </c>
      <c r="G88" s="5">
        <v>6</v>
      </c>
      <c r="H88" s="5" t="s">
        <v>34</v>
      </c>
      <c r="I88" s="5">
        <v>0</v>
      </c>
      <c r="J88" s="5" t="s">
        <v>24</v>
      </c>
      <c r="K88" s="12">
        <v>50801</v>
      </c>
      <c r="L88" s="5" t="s">
        <v>19</v>
      </c>
      <c r="M88" s="6" t="s">
        <v>20</v>
      </c>
      <c r="N88" s="15">
        <v>20975</v>
      </c>
      <c r="O88" s="15">
        <v>31596</v>
      </c>
      <c r="P88" s="5"/>
      <c r="Q88" s="2" t="str">
        <f>INDEX(Table3[#All], MATCH(Table1[[#This Row],[Dept_Id]], Table3[[#All],[Dept_Id]], 0), 1)</f>
        <v>Development</v>
      </c>
      <c r="R88" s="22" t="str">
        <f>IF(Table1[[#This Row],[Left?]] = 1, (Table1[[#This Row],[New_Last_Date]]-Table1[[#This Row],[New_DoJ]])/365.25, "")</f>
        <v/>
      </c>
      <c r="S88" s="2" cm="1">
        <f t="array" ref="S8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88" s="2" t="str">
        <f>IF(Table1[[#This Row],[New_DoJ]] &gt;= EDATE( MAX(Table1[New_DoJ]), -24), "Yes", "No")</f>
        <v>No</v>
      </c>
    </row>
    <row r="89" spans="1:20" x14ac:dyDescent="0.3">
      <c r="A89" s="4">
        <v>10054</v>
      </c>
      <c r="B89" s="5" t="s">
        <v>277</v>
      </c>
      <c r="C89" s="5" t="s">
        <v>278</v>
      </c>
      <c r="D89" s="5" t="s">
        <v>279</v>
      </c>
      <c r="E89" s="5" t="s">
        <v>16</v>
      </c>
      <c r="F89" s="15">
        <v>34771</v>
      </c>
      <c r="G89" s="5">
        <v>8</v>
      </c>
      <c r="H89" s="5" t="s">
        <v>29</v>
      </c>
      <c r="I89" s="5">
        <v>0</v>
      </c>
      <c r="J89" s="5" t="s">
        <v>24</v>
      </c>
      <c r="K89" s="12">
        <v>40000</v>
      </c>
      <c r="L89" s="5" t="s">
        <v>43</v>
      </c>
      <c r="M89" s="6" t="s">
        <v>39</v>
      </c>
      <c r="N89" s="15">
        <v>20914</v>
      </c>
      <c r="O89" s="15">
        <v>34771</v>
      </c>
      <c r="P89" s="5"/>
      <c r="Q89" s="2" t="str">
        <f>INDEX(Table3[#All], MATCH(Table1[[#This Row],[Dept_Id]], Table3[[#All],[Dept_Id]], 0), 1)</f>
        <v>Human Resources</v>
      </c>
      <c r="R89" s="22" t="str">
        <f>IF(Table1[[#This Row],[Left?]] = 1, (Table1[[#This Row],[New_Last_Date]]-Table1[[#This Row],[New_DoJ]])/365.25, "")</f>
        <v/>
      </c>
      <c r="S89" s="2" cm="1">
        <f t="array" ref="S8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89" s="2" t="str">
        <f>IF(Table1[[#This Row],[New_DoJ]] &gt;= EDATE( MAX(Table1[New_DoJ]), -24), "Yes", "No")</f>
        <v>No</v>
      </c>
    </row>
    <row r="90" spans="1:20" x14ac:dyDescent="0.3">
      <c r="A90" s="4">
        <v>10055</v>
      </c>
      <c r="B90" s="5" t="s">
        <v>280</v>
      </c>
      <c r="C90" s="5" t="s">
        <v>281</v>
      </c>
      <c r="D90" s="5" t="s">
        <v>258</v>
      </c>
      <c r="E90" s="5" t="s">
        <v>16</v>
      </c>
      <c r="F90" s="15">
        <v>33721</v>
      </c>
      <c r="G90" s="5">
        <v>4</v>
      </c>
      <c r="H90" s="5" t="s">
        <v>29</v>
      </c>
      <c r="I90" s="5">
        <v>0</v>
      </c>
      <c r="J90" s="5" t="s">
        <v>24</v>
      </c>
      <c r="K90" s="12">
        <v>80024</v>
      </c>
      <c r="L90" s="5" t="s">
        <v>105</v>
      </c>
      <c r="M90" s="6" t="s">
        <v>39</v>
      </c>
      <c r="N90" s="15">
        <v>20612</v>
      </c>
      <c r="O90" s="15">
        <v>33721</v>
      </c>
      <c r="P90" s="5"/>
      <c r="Q90" s="2" t="str">
        <f>INDEX(Table3[#All], MATCH(Table1[[#This Row],[Dept_Id]], Table3[[#All],[Dept_Id]], 0), 1)</f>
        <v>Marketing</v>
      </c>
      <c r="R90" s="22" t="str">
        <f>IF(Table1[[#This Row],[Left?]] = 1, (Table1[[#This Row],[New_Last_Date]]-Table1[[#This Row],[New_DoJ]])/365.25, "")</f>
        <v/>
      </c>
      <c r="S90" s="2" cm="1">
        <f t="array" ref="S9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90" s="2" t="str">
        <f>IF(Table1[[#This Row],[New_DoJ]] &gt;= EDATE( MAX(Table1[New_DoJ]), -24), "Yes", "No")</f>
        <v>No</v>
      </c>
    </row>
    <row r="91" spans="1:20" x14ac:dyDescent="0.3">
      <c r="A91" s="4">
        <v>67799</v>
      </c>
      <c r="B91" s="5" t="s">
        <v>282</v>
      </c>
      <c r="C91" s="5" t="s">
        <v>283</v>
      </c>
      <c r="D91" s="5" t="s">
        <v>284</v>
      </c>
      <c r="E91" s="5" t="s">
        <v>16</v>
      </c>
      <c r="F91" s="15">
        <v>34362</v>
      </c>
      <c r="G91" s="5">
        <v>9</v>
      </c>
      <c r="H91" s="5" t="s">
        <v>34</v>
      </c>
      <c r="I91" s="5">
        <v>0</v>
      </c>
      <c r="J91" s="5" t="s">
        <v>24</v>
      </c>
      <c r="K91" s="12">
        <v>48111</v>
      </c>
      <c r="L91" s="5" t="s">
        <v>63</v>
      </c>
      <c r="M91" s="6" t="s">
        <v>50</v>
      </c>
      <c r="N91" s="15">
        <v>22571</v>
      </c>
      <c r="O91" s="15">
        <v>34362</v>
      </c>
      <c r="P91" s="5"/>
      <c r="Q91" s="2" t="str">
        <f>INDEX(Table3[#All], MATCH(Table1[[#This Row],[Dept_Id]], Table3[[#All],[Dept_Id]], 0), 1)</f>
        <v>Quality Management</v>
      </c>
      <c r="R91" s="22" t="str">
        <f>IF(Table1[[#This Row],[Left?]] = 1, (Table1[[#This Row],[New_Last_Date]]-Table1[[#This Row],[New_DoJ]])/365.25, "")</f>
        <v/>
      </c>
      <c r="S91" s="2" cm="1">
        <f t="array" ref="S9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91" s="2" t="str">
        <f>IF(Table1[[#This Row],[New_DoJ]] &gt;= EDATE( MAX(Table1[New_DoJ]), -24), "Yes", "No")</f>
        <v>No</v>
      </c>
    </row>
    <row r="92" spans="1:20" x14ac:dyDescent="0.3">
      <c r="A92" s="4">
        <v>10056</v>
      </c>
      <c r="B92" s="5" t="s">
        <v>285</v>
      </c>
      <c r="C92" s="5" t="s">
        <v>286</v>
      </c>
      <c r="D92" s="5" t="s">
        <v>287</v>
      </c>
      <c r="E92" s="5" t="s">
        <v>33</v>
      </c>
      <c r="F92" s="15">
        <v>32905</v>
      </c>
      <c r="G92" s="5">
        <v>4</v>
      </c>
      <c r="H92" s="5" t="s">
        <v>17</v>
      </c>
      <c r="I92" s="5">
        <v>0</v>
      </c>
      <c r="J92" s="5" t="s">
        <v>24</v>
      </c>
      <c r="K92" s="12">
        <v>48857</v>
      </c>
      <c r="L92" s="5" t="s">
        <v>19</v>
      </c>
      <c r="M92" s="6" t="s">
        <v>20</v>
      </c>
      <c r="N92" s="15">
        <v>22525</v>
      </c>
      <c r="O92" s="15">
        <v>32905</v>
      </c>
      <c r="P92" s="5"/>
      <c r="Q92" s="2" t="str">
        <f>INDEX(Table3[#All], MATCH(Table1[[#This Row],[Dept_Id]], Table3[[#All],[Dept_Id]], 0), 1)</f>
        <v>Development</v>
      </c>
      <c r="R92" s="22" t="str">
        <f>IF(Table1[[#This Row],[Left?]] = 1, (Table1[[#This Row],[New_Last_Date]]-Table1[[#This Row],[New_DoJ]])/365.25, "")</f>
        <v/>
      </c>
      <c r="S92" s="2" cm="1">
        <f t="array" ref="S9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92" s="2" t="str">
        <f>IF(Table1[[#This Row],[New_DoJ]] &gt;= EDATE( MAX(Table1[New_DoJ]), -24), "Yes", "No")</f>
        <v>No</v>
      </c>
    </row>
    <row r="93" spans="1:20" x14ac:dyDescent="0.3">
      <c r="A93" s="4">
        <v>10057</v>
      </c>
      <c r="B93" s="5" t="s">
        <v>288</v>
      </c>
      <c r="C93" s="5" t="s">
        <v>289</v>
      </c>
      <c r="D93" s="5" t="s">
        <v>290</v>
      </c>
      <c r="E93" s="5" t="s">
        <v>33</v>
      </c>
      <c r="F93" s="15">
        <v>33618</v>
      </c>
      <c r="G93" s="5">
        <v>9</v>
      </c>
      <c r="H93" s="5" t="s">
        <v>291</v>
      </c>
      <c r="I93" s="5">
        <v>0</v>
      </c>
      <c r="J93" s="5" t="s">
        <v>24</v>
      </c>
      <c r="K93" s="12">
        <v>49616</v>
      </c>
      <c r="L93" s="5" t="s">
        <v>19</v>
      </c>
      <c r="M93" s="6" t="s">
        <v>20</v>
      </c>
      <c r="N93" s="15">
        <v>19874</v>
      </c>
      <c r="O93" s="15">
        <v>33618</v>
      </c>
      <c r="P93" s="5"/>
      <c r="Q93" s="2" t="str">
        <f>INDEX(Table3[#All], MATCH(Table1[[#This Row],[Dept_Id]], Table3[[#All],[Dept_Id]], 0), 1)</f>
        <v>Development</v>
      </c>
      <c r="R93" s="22" t="str">
        <f>IF(Table1[[#This Row],[Left?]] = 1, (Table1[[#This Row],[New_Last_Date]]-Table1[[#This Row],[New_DoJ]])/365.25, "")</f>
        <v/>
      </c>
      <c r="S93" s="2" cm="1">
        <f t="array" ref="S9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5</v>
      </c>
      <c r="T93" s="2" t="str">
        <f>IF(Table1[[#This Row],[New_DoJ]] &gt;= EDATE( MAX(Table1[New_DoJ]), -24), "Yes", "No")</f>
        <v>No</v>
      </c>
    </row>
    <row r="94" spans="1:20" x14ac:dyDescent="0.3">
      <c r="A94" s="4">
        <v>37061</v>
      </c>
      <c r="B94" s="5" t="s">
        <v>292</v>
      </c>
      <c r="C94" s="5" t="s">
        <v>293</v>
      </c>
      <c r="D94" s="5" t="s">
        <v>165</v>
      </c>
      <c r="E94" s="5" t="s">
        <v>33</v>
      </c>
      <c r="F94" s="15">
        <v>32975</v>
      </c>
      <c r="G94" s="5">
        <v>10</v>
      </c>
      <c r="H94" s="5" t="s">
        <v>17</v>
      </c>
      <c r="I94" s="5">
        <v>0</v>
      </c>
      <c r="J94" s="5" t="s">
        <v>24</v>
      </c>
      <c r="K94" s="12">
        <v>40000</v>
      </c>
      <c r="L94" s="5" t="s">
        <v>43</v>
      </c>
      <c r="M94" s="6" t="s">
        <v>39</v>
      </c>
      <c r="N94" s="15">
        <v>23553</v>
      </c>
      <c r="O94" s="15">
        <v>32975</v>
      </c>
      <c r="P94" s="5"/>
      <c r="Q94" s="2" t="str">
        <f>INDEX(Table3[#All], MATCH(Table1[[#This Row],[Dept_Id]], Table3[[#All],[Dept_Id]], 0), 1)</f>
        <v>Human Resources</v>
      </c>
      <c r="R94" s="22" t="str">
        <f>IF(Table1[[#This Row],[Left?]] = 1, (Table1[[#This Row],[New_Last_Date]]-Table1[[#This Row],[New_DoJ]])/365.25, "")</f>
        <v/>
      </c>
      <c r="S94" s="2" cm="1">
        <f t="array" ref="S9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94" s="2" t="str">
        <f>IF(Table1[[#This Row],[New_DoJ]] &gt;= EDATE( MAX(Table1[New_DoJ]), -24), "Yes", "No")</f>
        <v>No</v>
      </c>
    </row>
    <row r="95" spans="1:20" x14ac:dyDescent="0.3">
      <c r="A95" s="4">
        <v>10058</v>
      </c>
      <c r="B95" s="5" t="s">
        <v>294</v>
      </c>
      <c r="C95" s="5" t="s">
        <v>295</v>
      </c>
      <c r="D95" s="5" t="s">
        <v>296</v>
      </c>
      <c r="E95" s="5" t="s">
        <v>16</v>
      </c>
      <c r="F95" s="15">
        <v>31880</v>
      </c>
      <c r="G95" s="5">
        <v>7</v>
      </c>
      <c r="H95" s="5" t="s">
        <v>29</v>
      </c>
      <c r="I95" s="5">
        <v>0</v>
      </c>
      <c r="J95" s="5" t="s">
        <v>24</v>
      </c>
      <c r="K95" s="12">
        <v>52787</v>
      </c>
      <c r="L95" s="5" t="s">
        <v>105</v>
      </c>
      <c r="M95" s="6" t="s">
        <v>87</v>
      </c>
      <c r="N95" s="15">
        <v>19998</v>
      </c>
      <c r="O95" s="15">
        <v>31880</v>
      </c>
      <c r="P95" s="5"/>
      <c r="Q95" s="2" t="str">
        <f>INDEX(Table3[#All], MATCH(Table1[[#This Row],[Dept_Id]], Table3[[#All],[Dept_Id]], 0), 1)</f>
        <v>Marketing</v>
      </c>
      <c r="R95" s="22" t="str">
        <f>IF(Table1[[#This Row],[Left?]] = 1, (Table1[[#This Row],[New_Last_Date]]-Table1[[#This Row],[New_DoJ]])/365.25, "")</f>
        <v/>
      </c>
      <c r="S95" s="2" cm="1">
        <f t="array" ref="S9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95" s="2" t="str">
        <f>IF(Table1[[#This Row],[New_DoJ]] &gt;= EDATE( MAX(Table1[New_DoJ]), -24), "Yes", "No")</f>
        <v>No</v>
      </c>
    </row>
    <row r="96" spans="1:20" x14ac:dyDescent="0.3">
      <c r="A96" s="4">
        <v>10059</v>
      </c>
      <c r="B96" s="5" t="s">
        <v>297</v>
      </c>
      <c r="C96" s="5" t="s">
        <v>206</v>
      </c>
      <c r="D96" s="5" t="s">
        <v>215</v>
      </c>
      <c r="E96" s="5" t="s">
        <v>33</v>
      </c>
      <c r="F96" s="15">
        <v>33415</v>
      </c>
      <c r="G96" s="5">
        <v>2</v>
      </c>
      <c r="H96" s="5" t="s">
        <v>17</v>
      </c>
      <c r="I96" s="5">
        <v>0</v>
      </c>
      <c r="J96" s="5" t="s">
        <v>24</v>
      </c>
      <c r="K96" s="12">
        <v>71218</v>
      </c>
      <c r="L96" s="5" t="s">
        <v>92</v>
      </c>
      <c r="M96" s="6" t="s">
        <v>87</v>
      </c>
      <c r="N96" s="15">
        <v>19621</v>
      </c>
      <c r="O96" s="15">
        <v>33415</v>
      </c>
      <c r="P96" s="5"/>
      <c r="Q96" s="2" t="str">
        <f>INDEX(Table3[#All], MATCH(Table1[[#This Row],[Dept_Id]], Table3[[#All],[Dept_Id]], 0), 1)</f>
        <v>Finance</v>
      </c>
      <c r="R96" s="22" t="str">
        <f>IF(Table1[[#This Row],[Left?]] = 1, (Table1[[#This Row],[New_Last_Date]]-Table1[[#This Row],[New_DoJ]])/365.25, "")</f>
        <v/>
      </c>
      <c r="S96" s="2" cm="1">
        <f t="array" ref="S9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96" s="2" t="str">
        <f>IF(Table1[[#This Row],[New_DoJ]] &gt;= EDATE( MAX(Table1[New_DoJ]), -24), "Yes", "No")</f>
        <v>No</v>
      </c>
    </row>
    <row r="97" spans="1:20" x14ac:dyDescent="0.3">
      <c r="A97" s="4">
        <v>411412</v>
      </c>
      <c r="B97" s="5" t="s">
        <v>298</v>
      </c>
      <c r="C97" s="5" t="s">
        <v>299</v>
      </c>
      <c r="D97" s="5" t="s">
        <v>300</v>
      </c>
      <c r="E97" s="5" t="s">
        <v>16</v>
      </c>
      <c r="F97" s="15">
        <v>32135</v>
      </c>
      <c r="G97" s="5">
        <v>2</v>
      </c>
      <c r="H97" s="5" t="s">
        <v>29</v>
      </c>
      <c r="I97" s="5">
        <v>0</v>
      </c>
      <c r="J97" s="5" t="s">
        <v>24</v>
      </c>
      <c r="K97" s="12">
        <v>42348</v>
      </c>
      <c r="L97" s="5" t="s">
        <v>25</v>
      </c>
      <c r="M97" s="6" t="s">
        <v>20</v>
      </c>
      <c r="N97" s="15">
        <v>19370</v>
      </c>
      <c r="O97" s="15">
        <v>32135</v>
      </c>
      <c r="P97" s="5"/>
      <c r="Q97" s="2" t="str">
        <f>INDEX(Table3[#All], MATCH(Table1[[#This Row],[Dept_Id]], Table3[[#All],[Dept_Id]], 0), 1)</f>
        <v>Production</v>
      </c>
      <c r="R97" s="22" t="str">
        <f>IF(Table1[[#This Row],[Left?]] = 1, (Table1[[#This Row],[New_Last_Date]]-Table1[[#This Row],[New_DoJ]])/365.25, "")</f>
        <v/>
      </c>
      <c r="S97" s="2" cm="1">
        <f t="array" ref="S9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97" s="2" t="str">
        <f>IF(Table1[[#This Row],[New_DoJ]] &gt;= EDATE( MAX(Table1[New_DoJ]), -24), "Yes", "No")</f>
        <v>No</v>
      </c>
    </row>
    <row r="98" spans="1:20" x14ac:dyDescent="0.3">
      <c r="A98" s="4">
        <v>10060</v>
      </c>
      <c r="B98" s="5" t="s">
        <v>301</v>
      </c>
      <c r="C98" s="5" t="s">
        <v>302</v>
      </c>
      <c r="D98" s="5" t="s">
        <v>303</v>
      </c>
      <c r="E98" s="5" t="s">
        <v>16</v>
      </c>
      <c r="F98" s="15">
        <v>32083</v>
      </c>
      <c r="G98" s="5">
        <v>7</v>
      </c>
      <c r="H98" s="5" t="s">
        <v>29</v>
      </c>
      <c r="I98" s="5">
        <v>0</v>
      </c>
      <c r="J98" s="5" t="s">
        <v>24</v>
      </c>
      <c r="K98" s="12">
        <v>74686</v>
      </c>
      <c r="L98" s="5" t="s">
        <v>38</v>
      </c>
      <c r="M98" s="6" t="s">
        <v>39</v>
      </c>
      <c r="N98" s="15">
        <v>22569</v>
      </c>
      <c r="O98" s="15">
        <v>32083</v>
      </c>
      <c r="P98" s="5"/>
      <c r="Q98" s="2" t="str">
        <f>INDEX(Table3[#All], MATCH(Table1[[#This Row],[Dept_Id]], Table3[[#All],[Dept_Id]], 0), 1)</f>
        <v>Sales</v>
      </c>
      <c r="R98" s="22" t="str">
        <f>IF(Table1[[#This Row],[Left?]] = 1, (Table1[[#This Row],[New_Last_Date]]-Table1[[#This Row],[New_DoJ]])/365.25, "")</f>
        <v/>
      </c>
      <c r="S98" s="2" cm="1">
        <f t="array" ref="S9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98" s="2" t="str">
        <f>IF(Table1[[#This Row],[New_DoJ]] &gt;= EDATE( MAX(Table1[New_DoJ]), -24), "Yes", "No")</f>
        <v>No</v>
      </c>
    </row>
    <row r="99" spans="1:20" x14ac:dyDescent="0.3">
      <c r="A99" s="4">
        <v>10060</v>
      </c>
      <c r="B99" s="5" t="s">
        <v>301</v>
      </c>
      <c r="C99" s="5" t="s">
        <v>302</v>
      </c>
      <c r="D99" s="5" t="s">
        <v>303</v>
      </c>
      <c r="E99" s="5" t="s">
        <v>16</v>
      </c>
      <c r="F99" s="15">
        <v>32083</v>
      </c>
      <c r="G99" s="5">
        <v>7</v>
      </c>
      <c r="H99" s="5" t="s">
        <v>29</v>
      </c>
      <c r="I99" s="5">
        <v>0</v>
      </c>
      <c r="J99" s="5" t="s">
        <v>24</v>
      </c>
      <c r="K99" s="12">
        <v>74686</v>
      </c>
      <c r="L99" s="5" t="s">
        <v>77</v>
      </c>
      <c r="M99" s="6" t="s">
        <v>39</v>
      </c>
      <c r="N99" s="15">
        <v>22569</v>
      </c>
      <c r="O99" s="15">
        <v>32083</v>
      </c>
      <c r="P99" s="5"/>
      <c r="Q99" s="2" t="str">
        <f>INDEX(Table3[#All], MATCH(Table1[[#This Row],[Dept_Id]], Table3[[#All],[Dept_Id]], 0), 1)</f>
        <v>Customer Service</v>
      </c>
      <c r="R99" s="22" t="str">
        <f>IF(Table1[[#This Row],[Left?]] = 1, (Table1[[#This Row],[New_Last_Date]]-Table1[[#This Row],[New_DoJ]])/365.25, "")</f>
        <v/>
      </c>
      <c r="S99" s="2" cm="1">
        <f t="array" ref="S9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99" s="2" t="str">
        <f>IF(Table1[[#This Row],[New_DoJ]] &gt;= EDATE( MAX(Table1[New_DoJ]), -24), "Yes", "No")</f>
        <v>No</v>
      </c>
    </row>
    <row r="100" spans="1:20" x14ac:dyDescent="0.3">
      <c r="A100" s="4">
        <v>422587</v>
      </c>
      <c r="B100" s="5" t="s">
        <v>304</v>
      </c>
      <c r="C100" s="5" t="s">
        <v>305</v>
      </c>
      <c r="D100" s="5" t="s">
        <v>108</v>
      </c>
      <c r="E100" s="5" t="s">
        <v>33</v>
      </c>
      <c r="F100" s="15">
        <v>31426</v>
      </c>
      <c r="G100" s="5">
        <v>10</v>
      </c>
      <c r="H100" s="5" t="s">
        <v>17</v>
      </c>
      <c r="I100" s="5">
        <v>0</v>
      </c>
      <c r="J100" s="5" t="s">
        <v>24</v>
      </c>
      <c r="K100" s="12">
        <v>40000</v>
      </c>
      <c r="L100" s="5" t="s">
        <v>19</v>
      </c>
      <c r="M100" s="6" t="s">
        <v>20</v>
      </c>
      <c r="N100" s="15">
        <v>19908</v>
      </c>
      <c r="O100" s="15">
        <v>31426</v>
      </c>
      <c r="P100" s="5"/>
      <c r="Q100" s="2" t="str">
        <f>INDEX(Table3[#All], MATCH(Table1[[#This Row],[Dept_Id]], Table3[[#All],[Dept_Id]], 0), 1)</f>
        <v>Development</v>
      </c>
      <c r="R100" s="22" t="str">
        <f>IF(Table1[[#This Row],[Left?]] = 1, (Table1[[#This Row],[New_Last_Date]]-Table1[[#This Row],[New_DoJ]])/365.25, "")</f>
        <v/>
      </c>
      <c r="S100" s="2" cm="1">
        <f t="array" ref="S10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00" s="2" t="str">
        <f>IF(Table1[[#This Row],[New_DoJ]] &gt;= EDATE( MAX(Table1[New_DoJ]), -24), "Yes", "No")</f>
        <v>No</v>
      </c>
    </row>
    <row r="101" spans="1:20" x14ac:dyDescent="0.3">
      <c r="A101" s="4">
        <v>10061</v>
      </c>
      <c r="B101" s="5" t="s">
        <v>306</v>
      </c>
      <c r="C101" s="5" t="s">
        <v>307</v>
      </c>
      <c r="D101" s="5" t="s">
        <v>308</v>
      </c>
      <c r="E101" s="5" t="s">
        <v>16</v>
      </c>
      <c r="F101" s="15">
        <v>31307</v>
      </c>
      <c r="G101" s="5">
        <v>1</v>
      </c>
      <c r="H101" s="5" t="s">
        <v>34</v>
      </c>
      <c r="I101" s="5">
        <v>0</v>
      </c>
      <c r="J101" s="5" t="s">
        <v>24</v>
      </c>
      <c r="K101" s="12">
        <v>68577</v>
      </c>
      <c r="L101" s="5" t="s">
        <v>38</v>
      </c>
      <c r="M101" s="6" t="s">
        <v>87</v>
      </c>
      <c r="N101" s="15">
        <v>22938</v>
      </c>
      <c r="O101" s="15">
        <v>31307</v>
      </c>
      <c r="P101" s="5"/>
      <c r="Q101" s="2" t="str">
        <f>INDEX(Table3[#All], MATCH(Table1[[#This Row],[Dept_Id]], Table3[[#All],[Dept_Id]], 0), 1)</f>
        <v>Sales</v>
      </c>
      <c r="R101" s="22" t="str">
        <f>IF(Table1[[#This Row],[Left?]] = 1, (Table1[[#This Row],[New_Last_Date]]-Table1[[#This Row],[New_DoJ]])/365.25, "")</f>
        <v/>
      </c>
      <c r="S101" s="2" cm="1">
        <f t="array" ref="S10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01" s="2" t="str">
        <f>IF(Table1[[#This Row],[New_DoJ]] &gt;= EDATE( MAX(Table1[New_DoJ]), -24), "Yes", "No")</f>
        <v>No</v>
      </c>
    </row>
    <row r="102" spans="1:20" x14ac:dyDescent="0.3">
      <c r="A102" s="4">
        <v>10062</v>
      </c>
      <c r="B102" s="5" t="s">
        <v>309</v>
      </c>
      <c r="C102" s="5" t="s">
        <v>310</v>
      </c>
      <c r="D102" s="5" t="s">
        <v>311</v>
      </c>
      <c r="E102" s="5" t="s">
        <v>16</v>
      </c>
      <c r="F102" s="15">
        <v>33480</v>
      </c>
      <c r="G102" s="5">
        <v>7</v>
      </c>
      <c r="H102" s="5" t="s">
        <v>34</v>
      </c>
      <c r="I102" s="5">
        <v>1</v>
      </c>
      <c r="J102" s="5" t="s">
        <v>312</v>
      </c>
      <c r="K102" s="12">
        <v>55685</v>
      </c>
      <c r="L102" s="5" t="s">
        <v>19</v>
      </c>
      <c r="M102" s="6" t="s">
        <v>20</v>
      </c>
      <c r="N102" s="15">
        <v>22587</v>
      </c>
      <c r="O102" s="15">
        <v>33480</v>
      </c>
      <c r="P102" s="15">
        <v>34016</v>
      </c>
      <c r="Q102" s="2" t="str">
        <f>INDEX(Table3[#All], MATCH(Table1[[#This Row],[Dept_Id]], Table3[[#All],[Dept_Id]], 0), 1)</f>
        <v>Development</v>
      </c>
      <c r="R102" s="22">
        <f>IF(Table1[[#This Row],[Left?]] = 1, (Table1[[#This Row],[New_Last_Date]]-Table1[[#This Row],[New_DoJ]])/365.25, "")</f>
        <v>1.4674880219028064</v>
      </c>
      <c r="S102" s="2" cm="1">
        <f t="array" ref="S10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02" s="2" t="str">
        <f>IF(Table1[[#This Row],[New_DoJ]] &gt;= EDATE( MAX(Table1[New_DoJ]), -24), "Yes", "No")</f>
        <v>No</v>
      </c>
    </row>
    <row r="103" spans="1:20" x14ac:dyDescent="0.3">
      <c r="A103" s="4">
        <v>35270</v>
      </c>
      <c r="B103" s="5" t="s">
        <v>313</v>
      </c>
      <c r="C103" s="5" t="s">
        <v>314</v>
      </c>
      <c r="D103" s="5" t="s">
        <v>315</v>
      </c>
      <c r="E103" s="5" t="s">
        <v>16</v>
      </c>
      <c r="F103" s="15">
        <v>33274</v>
      </c>
      <c r="G103" s="5">
        <v>4</v>
      </c>
      <c r="H103" s="5" t="s">
        <v>29</v>
      </c>
      <c r="I103" s="5">
        <v>0</v>
      </c>
      <c r="J103" s="5" t="s">
        <v>24</v>
      </c>
      <c r="K103" s="12">
        <v>40338</v>
      </c>
      <c r="L103" s="5" t="s">
        <v>25</v>
      </c>
      <c r="M103" s="6" t="s">
        <v>129</v>
      </c>
      <c r="N103" s="15">
        <v>19361</v>
      </c>
      <c r="O103" s="15">
        <v>33274</v>
      </c>
      <c r="P103" s="5"/>
      <c r="Q103" s="2" t="str">
        <f>INDEX(Table3[#All], MATCH(Table1[[#This Row],[Dept_Id]], Table3[[#All],[Dept_Id]], 0), 1)</f>
        <v>Production</v>
      </c>
      <c r="R103" s="22" t="str">
        <f>IF(Table1[[#This Row],[Left?]] = 1, (Table1[[#This Row],[New_Last_Date]]-Table1[[#This Row],[New_DoJ]])/365.25, "")</f>
        <v/>
      </c>
      <c r="S103" s="2" cm="1">
        <f t="array" ref="S10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03" s="2" t="str">
        <f>IF(Table1[[#This Row],[New_DoJ]] &gt;= EDATE( MAX(Table1[New_DoJ]), -24), "Yes", "No")</f>
        <v>No</v>
      </c>
    </row>
    <row r="104" spans="1:20" x14ac:dyDescent="0.3">
      <c r="A104" s="4">
        <v>10063</v>
      </c>
      <c r="B104" s="5" t="s">
        <v>316</v>
      </c>
      <c r="C104" s="5" t="s">
        <v>317</v>
      </c>
      <c r="D104" s="5" t="s">
        <v>318</v>
      </c>
      <c r="E104" s="5" t="s">
        <v>33</v>
      </c>
      <c r="F104" s="15">
        <v>32606</v>
      </c>
      <c r="G104" s="5">
        <v>1</v>
      </c>
      <c r="H104" s="5" t="s">
        <v>29</v>
      </c>
      <c r="I104" s="5">
        <v>0</v>
      </c>
      <c r="J104" s="5" t="s">
        <v>24</v>
      </c>
      <c r="K104" s="12">
        <v>40000</v>
      </c>
      <c r="L104" s="5" t="s">
        <v>25</v>
      </c>
      <c r="M104" s="6" t="s">
        <v>20</v>
      </c>
      <c r="N104" s="15">
        <v>19212</v>
      </c>
      <c r="O104" s="15">
        <v>32606</v>
      </c>
      <c r="P104" s="5"/>
      <c r="Q104" s="2" t="str">
        <f>INDEX(Table3[#All], MATCH(Table1[[#This Row],[Dept_Id]], Table3[[#All],[Dept_Id]], 0), 1)</f>
        <v>Production</v>
      </c>
      <c r="R104" s="22" t="str">
        <f>IF(Table1[[#This Row],[Left?]] = 1, (Table1[[#This Row],[New_Last_Date]]-Table1[[#This Row],[New_DoJ]])/365.25, "")</f>
        <v/>
      </c>
      <c r="S104" s="2" cm="1">
        <f t="array" ref="S10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04" s="2" t="str">
        <f>IF(Table1[[#This Row],[New_DoJ]] &gt;= EDATE( MAX(Table1[New_DoJ]), -24), "Yes", "No")</f>
        <v>No</v>
      </c>
    </row>
    <row r="105" spans="1:20" x14ac:dyDescent="0.3">
      <c r="A105" s="4">
        <v>10064</v>
      </c>
      <c r="B105" s="5" t="s">
        <v>319</v>
      </c>
      <c r="C105" s="5" t="s">
        <v>320</v>
      </c>
      <c r="D105" s="5" t="s">
        <v>321</v>
      </c>
      <c r="E105" s="5" t="s">
        <v>16</v>
      </c>
      <c r="F105" s="15">
        <v>31371</v>
      </c>
      <c r="G105" s="5">
        <v>2</v>
      </c>
      <c r="H105" s="5" t="s">
        <v>29</v>
      </c>
      <c r="I105" s="5">
        <v>0</v>
      </c>
      <c r="J105" s="5" t="s">
        <v>24</v>
      </c>
      <c r="K105" s="12">
        <v>40000</v>
      </c>
      <c r="L105" s="5" t="s">
        <v>55</v>
      </c>
      <c r="M105" s="6" t="s">
        <v>39</v>
      </c>
      <c r="N105" s="15">
        <v>21647</v>
      </c>
      <c r="O105" s="15">
        <v>31371</v>
      </c>
      <c r="P105" s="5"/>
      <c r="Q105" s="2" t="str">
        <f>INDEX(Table3[#All], MATCH(Table1[[#This Row],[Dept_Id]], Table3[[#All],[Dept_Id]], 0), 1)</f>
        <v>Research</v>
      </c>
      <c r="R105" s="22" t="str">
        <f>IF(Table1[[#This Row],[Left?]] = 1, (Table1[[#This Row],[New_Last_Date]]-Table1[[#This Row],[New_DoJ]])/365.25, "")</f>
        <v/>
      </c>
      <c r="S105" s="2" cm="1">
        <f t="array" ref="S10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05" s="2" t="str">
        <f>IF(Table1[[#This Row],[New_DoJ]] &gt;= EDATE( MAX(Table1[New_DoJ]), -24), "Yes", "No")</f>
        <v>No</v>
      </c>
    </row>
    <row r="106" spans="1:20" x14ac:dyDescent="0.3">
      <c r="A106" s="4">
        <v>105597</v>
      </c>
      <c r="B106" s="5" t="s">
        <v>322</v>
      </c>
      <c r="C106" s="5" t="s">
        <v>323</v>
      </c>
      <c r="D106" s="5" t="s">
        <v>324</v>
      </c>
      <c r="E106" s="5" t="s">
        <v>16</v>
      </c>
      <c r="F106" s="15">
        <v>31908</v>
      </c>
      <c r="G106" s="5">
        <v>2</v>
      </c>
      <c r="H106" s="5" t="s">
        <v>29</v>
      </c>
      <c r="I106" s="5">
        <v>0</v>
      </c>
      <c r="J106" s="5" t="s">
        <v>24</v>
      </c>
      <c r="K106" s="12">
        <v>43841</v>
      </c>
      <c r="L106" s="5" t="s">
        <v>43</v>
      </c>
      <c r="M106" s="6" t="s">
        <v>87</v>
      </c>
      <c r="N106" s="15">
        <v>20681</v>
      </c>
      <c r="O106" s="15">
        <v>31908</v>
      </c>
      <c r="P106" s="5"/>
      <c r="Q106" s="2" t="str">
        <f>INDEX(Table3[#All], MATCH(Table1[[#This Row],[Dept_Id]], Table3[[#All],[Dept_Id]], 0), 1)</f>
        <v>Human Resources</v>
      </c>
      <c r="R106" s="22" t="str">
        <f>IF(Table1[[#This Row],[Left?]] = 1, (Table1[[#This Row],[New_Last_Date]]-Table1[[#This Row],[New_DoJ]])/365.25, "")</f>
        <v/>
      </c>
      <c r="S106" s="2" cm="1">
        <f t="array" ref="S10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06" s="2" t="str">
        <f>IF(Table1[[#This Row],[New_DoJ]] &gt;= EDATE( MAX(Table1[New_DoJ]), -24), "Yes", "No")</f>
        <v>No</v>
      </c>
    </row>
    <row r="107" spans="1:20" x14ac:dyDescent="0.3">
      <c r="A107" s="4">
        <v>10065</v>
      </c>
      <c r="B107" s="5" t="s">
        <v>325</v>
      </c>
      <c r="C107" s="5" t="s">
        <v>326</v>
      </c>
      <c r="D107" s="5" t="s">
        <v>327</v>
      </c>
      <c r="E107" s="5" t="s">
        <v>16</v>
      </c>
      <c r="F107" s="15">
        <v>32281</v>
      </c>
      <c r="G107" s="5">
        <v>5</v>
      </c>
      <c r="H107" s="5" t="s">
        <v>34</v>
      </c>
      <c r="I107" s="5">
        <v>0</v>
      </c>
      <c r="J107" s="5" t="s">
        <v>24</v>
      </c>
      <c r="K107" s="12">
        <v>40000</v>
      </c>
      <c r="L107" s="5" t="s">
        <v>19</v>
      </c>
      <c r="M107" s="6" t="s">
        <v>50</v>
      </c>
      <c r="N107" s="15">
        <v>23115</v>
      </c>
      <c r="O107" s="15">
        <v>32281</v>
      </c>
      <c r="P107" s="5"/>
      <c r="Q107" s="2" t="str">
        <f>INDEX(Table3[#All], MATCH(Table1[[#This Row],[Dept_Id]], Table3[[#All],[Dept_Id]], 0), 1)</f>
        <v>Development</v>
      </c>
      <c r="R107" s="22" t="str">
        <f>IF(Table1[[#This Row],[Left?]] = 1, (Table1[[#This Row],[New_Last_Date]]-Table1[[#This Row],[New_DoJ]])/365.25, "")</f>
        <v/>
      </c>
      <c r="S107" s="2" cm="1">
        <f t="array" ref="S10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07" s="2" t="str">
        <f>IF(Table1[[#This Row],[New_DoJ]] &gt;= EDATE( MAX(Table1[New_DoJ]), -24), "Yes", "No")</f>
        <v>No</v>
      </c>
    </row>
    <row r="108" spans="1:20" x14ac:dyDescent="0.3">
      <c r="A108" s="4">
        <v>10066</v>
      </c>
      <c r="B108" s="5" t="s">
        <v>328</v>
      </c>
      <c r="C108" s="5" t="s">
        <v>329</v>
      </c>
      <c r="D108" s="5" t="s">
        <v>330</v>
      </c>
      <c r="E108" s="5" t="s">
        <v>16</v>
      </c>
      <c r="F108" s="15">
        <v>31469</v>
      </c>
      <c r="G108" s="5">
        <v>1</v>
      </c>
      <c r="H108" s="5" t="s">
        <v>115</v>
      </c>
      <c r="I108" s="5">
        <v>0</v>
      </c>
      <c r="J108" s="5" t="s">
        <v>24</v>
      </c>
      <c r="K108" s="12">
        <v>69736</v>
      </c>
      <c r="L108" s="5" t="s">
        <v>19</v>
      </c>
      <c r="M108" s="6" t="s">
        <v>20</v>
      </c>
      <c r="N108" s="15">
        <v>19311</v>
      </c>
      <c r="O108" s="15">
        <v>31469</v>
      </c>
      <c r="P108" s="5"/>
      <c r="Q108" s="2" t="str">
        <f>INDEX(Table3[#All], MATCH(Table1[[#This Row],[Dept_Id]], Table3[[#All],[Dept_Id]], 0), 1)</f>
        <v>Development</v>
      </c>
      <c r="R108" s="22" t="str">
        <f>IF(Table1[[#This Row],[Left?]] = 1, (Table1[[#This Row],[New_Last_Date]]-Table1[[#This Row],[New_DoJ]])/365.25, "")</f>
        <v/>
      </c>
      <c r="S108" s="2" cm="1">
        <f t="array" ref="S10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108" s="2" t="str">
        <f>IF(Table1[[#This Row],[New_DoJ]] &gt;= EDATE( MAX(Table1[New_DoJ]), -24), "Yes", "No")</f>
        <v>No</v>
      </c>
    </row>
    <row r="109" spans="1:20" x14ac:dyDescent="0.3">
      <c r="A109" s="4">
        <v>244689</v>
      </c>
      <c r="B109" s="5" t="s">
        <v>331</v>
      </c>
      <c r="C109" s="5" t="s">
        <v>332</v>
      </c>
      <c r="D109" s="5" t="s">
        <v>333</v>
      </c>
      <c r="E109" s="5" t="s">
        <v>16</v>
      </c>
      <c r="F109" s="15">
        <v>33483</v>
      </c>
      <c r="G109" s="5">
        <v>7</v>
      </c>
      <c r="H109" s="5" t="s">
        <v>34</v>
      </c>
      <c r="I109" s="5">
        <v>0</v>
      </c>
      <c r="J109" s="5" t="s">
        <v>24</v>
      </c>
      <c r="K109" s="12">
        <v>40000</v>
      </c>
      <c r="L109" s="5" t="s">
        <v>105</v>
      </c>
      <c r="M109" s="6" t="s">
        <v>39</v>
      </c>
      <c r="N109" s="15">
        <v>20558</v>
      </c>
      <c r="O109" s="15">
        <v>33483</v>
      </c>
      <c r="P109" s="5"/>
      <c r="Q109" s="2" t="str">
        <f>INDEX(Table3[#All], MATCH(Table1[[#This Row],[Dept_Id]], Table3[[#All],[Dept_Id]], 0), 1)</f>
        <v>Marketing</v>
      </c>
      <c r="R109" s="22" t="str">
        <f>IF(Table1[[#This Row],[Left?]] = 1, (Table1[[#This Row],[New_Last_Date]]-Table1[[#This Row],[New_DoJ]])/365.25, "")</f>
        <v/>
      </c>
      <c r="S109" s="2" cm="1">
        <f t="array" ref="S10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09" s="2" t="str">
        <f>IF(Table1[[#This Row],[New_DoJ]] &gt;= EDATE( MAX(Table1[New_DoJ]), -24), "Yes", "No")</f>
        <v>No</v>
      </c>
    </row>
    <row r="110" spans="1:20" x14ac:dyDescent="0.3">
      <c r="A110" s="4">
        <v>244689</v>
      </c>
      <c r="B110" s="5" t="s">
        <v>331</v>
      </c>
      <c r="C110" s="5" t="s">
        <v>332</v>
      </c>
      <c r="D110" s="5" t="s">
        <v>333</v>
      </c>
      <c r="E110" s="5" t="s">
        <v>16</v>
      </c>
      <c r="F110" s="15">
        <v>33483</v>
      </c>
      <c r="G110" s="5">
        <v>7</v>
      </c>
      <c r="H110" s="5" t="s">
        <v>34</v>
      </c>
      <c r="I110" s="5">
        <v>0</v>
      </c>
      <c r="J110" s="5" t="s">
        <v>24</v>
      </c>
      <c r="K110" s="12">
        <v>40000</v>
      </c>
      <c r="L110" s="5" t="s">
        <v>43</v>
      </c>
      <c r="M110" s="6" t="s">
        <v>39</v>
      </c>
      <c r="N110" s="15">
        <v>20558</v>
      </c>
      <c r="O110" s="15">
        <v>33483</v>
      </c>
      <c r="P110" s="5"/>
      <c r="Q110" s="2" t="str">
        <f>INDEX(Table3[#All], MATCH(Table1[[#This Row],[Dept_Id]], Table3[[#All],[Dept_Id]], 0), 1)</f>
        <v>Human Resources</v>
      </c>
      <c r="R110" s="22" t="str">
        <f>IF(Table1[[#This Row],[Left?]] = 1, (Table1[[#This Row],[New_Last_Date]]-Table1[[#This Row],[New_DoJ]])/365.25, "")</f>
        <v/>
      </c>
      <c r="S110" s="2" cm="1">
        <f t="array" ref="S11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10" s="2" t="str">
        <f>IF(Table1[[#This Row],[New_DoJ]] &gt;= EDATE( MAX(Table1[New_DoJ]), -24), "Yes", "No")</f>
        <v>No</v>
      </c>
    </row>
    <row r="111" spans="1:20" x14ac:dyDescent="0.3">
      <c r="A111" s="4">
        <v>10067</v>
      </c>
      <c r="B111" s="5" t="s">
        <v>334</v>
      </c>
      <c r="C111" s="5" t="s">
        <v>335</v>
      </c>
      <c r="D111" s="5" t="s">
        <v>336</v>
      </c>
      <c r="E111" s="5" t="s">
        <v>16</v>
      </c>
      <c r="F111" s="15">
        <v>31840</v>
      </c>
      <c r="G111" s="5">
        <v>2</v>
      </c>
      <c r="H111" s="5" t="s">
        <v>17</v>
      </c>
      <c r="I111" s="5">
        <v>0</v>
      </c>
      <c r="J111" s="5" t="s">
        <v>24</v>
      </c>
      <c r="K111" s="12">
        <v>44642</v>
      </c>
      <c r="L111" s="5" t="s">
        <v>63</v>
      </c>
      <c r="M111" s="6" t="s">
        <v>20</v>
      </c>
      <c r="N111" s="15">
        <v>19366</v>
      </c>
      <c r="O111" s="15">
        <v>31840</v>
      </c>
      <c r="P111" s="5"/>
      <c r="Q111" s="2" t="str">
        <f>INDEX(Table3[#All], MATCH(Table1[[#This Row],[Dept_Id]], Table3[[#All],[Dept_Id]], 0), 1)</f>
        <v>Quality Management</v>
      </c>
      <c r="R111" s="22" t="str">
        <f>IF(Table1[[#This Row],[Left?]] = 1, (Table1[[#This Row],[New_Last_Date]]-Table1[[#This Row],[New_DoJ]])/365.25, "")</f>
        <v/>
      </c>
      <c r="S111" s="2" cm="1">
        <f t="array" ref="S11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11" s="2" t="str">
        <f>IF(Table1[[#This Row],[New_DoJ]] &gt;= EDATE( MAX(Table1[New_DoJ]), -24), "Yes", "No")</f>
        <v>No</v>
      </c>
    </row>
    <row r="112" spans="1:20" x14ac:dyDescent="0.3">
      <c r="A112" s="4">
        <v>10068</v>
      </c>
      <c r="B112" s="5" t="s">
        <v>337</v>
      </c>
      <c r="C112" s="5" t="s">
        <v>338</v>
      </c>
      <c r="D112" s="5" t="s">
        <v>339</v>
      </c>
      <c r="E112" s="5" t="s">
        <v>16</v>
      </c>
      <c r="F112" s="15">
        <v>31996</v>
      </c>
      <c r="G112" s="5">
        <v>6</v>
      </c>
      <c r="H112" s="5" t="s">
        <v>29</v>
      </c>
      <c r="I112" s="5">
        <v>0</v>
      </c>
      <c r="J112" s="5" t="s">
        <v>24</v>
      </c>
      <c r="K112" s="12">
        <v>87964</v>
      </c>
      <c r="L112" s="5" t="s">
        <v>38</v>
      </c>
      <c r="M112" s="6" t="s">
        <v>39</v>
      </c>
      <c r="N112" s="15">
        <v>22976</v>
      </c>
      <c r="O112" s="15">
        <v>31996</v>
      </c>
      <c r="P112" s="5"/>
      <c r="Q112" s="2" t="str">
        <f>INDEX(Table3[#All], MATCH(Table1[[#This Row],[Dept_Id]], Table3[[#All],[Dept_Id]], 0), 1)</f>
        <v>Sales</v>
      </c>
      <c r="R112" s="22" t="str">
        <f>IF(Table1[[#This Row],[Left?]] = 1, (Table1[[#This Row],[New_Last_Date]]-Table1[[#This Row],[New_DoJ]])/365.25, "")</f>
        <v/>
      </c>
      <c r="S112" s="2" cm="1">
        <f t="array" ref="S11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12" s="2" t="str">
        <f>IF(Table1[[#This Row],[New_DoJ]] &gt;= EDATE( MAX(Table1[New_DoJ]), -24), "Yes", "No")</f>
        <v>No</v>
      </c>
    </row>
    <row r="113" spans="1:20" x14ac:dyDescent="0.3">
      <c r="A113" s="4">
        <v>48885</v>
      </c>
      <c r="B113" s="5" t="s">
        <v>340</v>
      </c>
      <c r="C113" s="5" t="s">
        <v>341</v>
      </c>
      <c r="D113" s="5" t="s">
        <v>342</v>
      </c>
      <c r="E113" s="5" t="s">
        <v>16</v>
      </c>
      <c r="F113" s="15">
        <v>34018</v>
      </c>
      <c r="G113" s="5">
        <v>9</v>
      </c>
      <c r="H113" s="5" t="s">
        <v>34</v>
      </c>
      <c r="I113" s="5">
        <v>0</v>
      </c>
      <c r="J113" s="5" t="s">
        <v>24</v>
      </c>
      <c r="K113" s="12">
        <v>55736</v>
      </c>
      <c r="L113" s="5" t="s">
        <v>19</v>
      </c>
      <c r="M113" s="6" t="s">
        <v>20</v>
      </c>
      <c r="N113" s="15">
        <v>21425</v>
      </c>
      <c r="O113" s="15">
        <v>34018</v>
      </c>
      <c r="P113" s="5"/>
      <c r="Q113" s="2" t="str">
        <f>INDEX(Table3[#All], MATCH(Table1[[#This Row],[Dept_Id]], Table3[[#All],[Dept_Id]], 0), 1)</f>
        <v>Development</v>
      </c>
      <c r="R113" s="22" t="str">
        <f>IF(Table1[[#This Row],[Left?]] = 1, (Table1[[#This Row],[New_Last_Date]]-Table1[[#This Row],[New_DoJ]])/365.25, "")</f>
        <v/>
      </c>
      <c r="S113" s="2" cm="1">
        <f t="array" ref="S11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13" s="2" t="str">
        <f>IF(Table1[[#This Row],[New_DoJ]] &gt;= EDATE( MAX(Table1[New_DoJ]), -24), "Yes", "No")</f>
        <v>No</v>
      </c>
    </row>
    <row r="114" spans="1:20" x14ac:dyDescent="0.3">
      <c r="A114" s="4">
        <v>10069</v>
      </c>
      <c r="B114" s="5" t="s">
        <v>343</v>
      </c>
      <c r="C114" s="5" t="s">
        <v>344</v>
      </c>
      <c r="D114" s="5" t="s">
        <v>345</v>
      </c>
      <c r="E114" s="5" t="s">
        <v>33</v>
      </c>
      <c r="F114" s="15">
        <v>32817</v>
      </c>
      <c r="G114" s="5">
        <v>10</v>
      </c>
      <c r="H114" s="5" t="s">
        <v>29</v>
      </c>
      <c r="I114" s="5">
        <v>0</v>
      </c>
      <c r="J114" s="5" t="s">
        <v>24</v>
      </c>
      <c r="K114" s="12">
        <v>67932</v>
      </c>
      <c r="L114" s="5" t="s">
        <v>25</v>
      </c>
      <c r="M114" s="6" t="s">
        <v>129</v>
      </c>
      <c r="N114" s="15">
        <v>22165</v>
      </c>
      <c r="O114" s="15">
        <v>32817</v>
      </c>
      <c r="P114" s="5"/>
      <c r="Q114" s="2" t="str">
        <f>INDEX(Table3[#All], MATCH(Table1[[#This Row],[Dept_Id]], Table3[[#All],[Dept_Id]], 0), 1)</f>
        <v>Production</v>
      </c>
      <c r="R114" s="22" t="str">
        <f>IF(Table1[[#This Row],[Left?]] = 1, (Table1[[#This Row],[New_Last_Date]]-Table1[[#This Row],[New_DoJ]])/365.25, "")</f>
        <v/>
      </c>
      <c r="S114" s="2" cm="1">
        <f t="array" ref="S11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14" s="2" t="str">
        <f>IF(Table1[[#This Row],[New_DoJ]] &gt;= EDATE( MAX(Table1[New_DoJ]), -24), "Yes", "No")</f>
        <v>No</v>
      </c>
    </row>
    <row r="115" spans="1:20" x14ac:dyDescent="0.3">
      <c r="A115" s="4">
        <v>10070</v>
      </c>
      <c r="B115" s="5" t="s">
        <v>346</v>
      </c>
      <c r="C115" s="5" t="s">
        <v>347</v>
      </c>
      <c r="D115" s="5" t="s">
        <v>348</v>
      </c>
      <c r="E115" s="5" t="s">
        <v>16</v>
      </c>
      <c r="F115" s="15">
        <v>31334</v>
      </c>
      <c r="G115" s="5">
        <v>7</v>
      </c>
      <c r="H115" s="5" t="s">
        <v>29</v>
      </c>
      <c r="I115" s="5">
        <v>0</v>
      </c>
      <c r="J115" s="5" t="s">
        <v>24</v>
      </c>
      <c r="K115" s="12">
        <v>55999</v>
      </c>
      <c r="L115" s="5" t="s">
        <v>19</v>
      </c>
      <c r="M115" s="6" t="s">
        <v>129</v>
      </c>
      <c r="N115" s="15">
        <v>20321</v>
      </c>
      <c r="O115" s="15">
        <v>31334</v>
      </c>
      <c r="P115" s="5"/>
      <c r="Q115" s="2" t="str">
        <f>INDEX(Table3[#All], MATCH(Table1[[#This Row],[Dept_Id]], Table3[[#All],[Dept_Id]], 0), 1)</f>
        <v>Development</v>
      </c>
      <c r="R115" s="22" t="str">
        <f>IF(Table1[[#This Row],[Left?]] = 1, (Table1[[#This Row],[New_Last_Date]]-Table1[[#This Row],[New_DoJ]])/365.25, "")</f>
        <v/>
      </c>
      <c r="S115" s="2" cm="1">
        <f t="array" ref="S11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15" s="2" t="str">
        <f>IF(Table1[[#This Row],[New_DoJ]] &gt;= EDATE( MAX(Table1[New_DoJ]), -24), "Yes", "No")</f>
        <v>No</v>
      </c>
    </row>
    <row r="116" spans="1:20" x14ac:dyDescent="0.3">
      <c r="A116" s="4">
        <v>10070</v>
      </c>
      <c r="B116" s="5" t="s">
        <v>346</v>
      </c>
      <c r="C116" s="5" t="s">
        <v>347</v>
      </c>
      <c r="D116" s="5" t="s">
        <v>348</v>
      </c>
      <c r="E116" s="5" t="s">
        <v>16</v>
      </c>
      <c r="F116" s="15">
        <v>31334</v>
      </c>
      <c r="G116" s="5">
        <v>7</v>
      </c>
      <c r="H116" s="5" t="s">
        <v>29</v>
      </c>
      <c r="I116" s="5">
        <v>0</v>
      </c>
      <c r="J116" s="5" t="s">
        <v>24</v>
      </c>
      <c r="K116" s="12">
        <v>55999</v>
      </c>
      <c r="L116" s="5" t="s">
        <v>55</v>
      </c>
      <c r="M116" s="6" t="s">
        <v>129</v>
      </c>
      <c r="N116" s="15">
        <v>20321</v>
      </c>
      <c r="O116" s="15">
        <v>31334</v>
      </c>
      <c r="P116" s="5"/>
      <c r="Q116" s="2" t="str">
        <f>INDEX(Table3[#All], MATCH(Table1[[#This Row],[Dept_Id]], Table3[[#All],[Dept_Id]], 0), 1)</f>
        <v>Research</v>
      </c>
      <c r="R116" s="22" t="str">
        <f>IF(Table1[[#This Row],[Left?]] = 1, (Table1[[#This Row],[New_Last_Date]]-Table1[[#This Row],[New_DoJ]])/365.25, "")</f>
        <v/>
      </c>
      <c r="S116" s="2" cm="1">
        <f t="array" ref="S11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16" s="2" t="str">
        <f>IF(Table1[[#This Row],[New_DoJ]] &gt;= EDATE( MAX(Table1[New_DoJ]), -24), "Yes", "No")</f>
        <v>No</v>
      </c>
    </row>
    <row r="117" spans="1:20" x14ac:dyDescent="0.3">
      <c r="A117" s="4">
        <v>244492</v>
      </c>
      <c r="B117" s="5" t="s">
        <v>349</v>
      </c>
      <c r="C117" s="5" t="s">
        <v>350</v>
      </c>
      <c r="D117" s="5" t="s">
        <v>351</v>
      </c>
      <c r="E117" s="5" t="s">
        <v>16</v>
      </c>
      <c r="F117" s="15">
        <v>34534</v>
      </c>
      <c r="G117" s="5">
        <v>3</v>
      </c>
      <c r="H117" s="5" t="s">
        <v>17</v>
      </c>
      <c r="I117" s="5">
        <v>1</v>
      </c>
      <c r="J117" s="5" t="s">
        <v>352</v>
      </c>
      <c r="K117" s="12">
        <v>63685</v>
      </c>
      <c r="L117" s="5" t="s">
        <v>19</v>
      </c>
      <c r="M117" s="6" t="s">
        <v>20</v>
      </c>
      <c r="N117" s="15">
        <v>21327</v>
      </c>
      <c r="O117" s="15">
        <v>34534</v>
      </c>
      <c r="P117" s="15">
        <v>36844</v>
      </c>
      <c r="Q117" s="2" t="str">
        <f>INDEX(Table3[#All], MATCH(Table1[[#This Row],[Dept_Id]], Table3[[#All],[Dept_Id]], 0), 1)</f>
        <v>Development</v>
      </c>
      <c r="R117" s="22">
        <f>IF(Table1[[#This Row],[Left?]] = 1, (Table1[[#This Row],[New_Last_Date]]-Table1[[#This Row],[New_DoJ]])/365.25, "")</f>
        <v>6.324435318275154</v>
      </c>
      <c r="S117" s="2" cm="1">
        <f t="array" ref="S11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17" s="2" t="str">
        <f>IF(Table1[[#This Row],[New_DoJ]] &gt;= EDATE( MAX(Table1[New_DoJ]), -24), "Yes", "No")</f>
        <v>No</v>
      </c>
    </row>
    <row r="118" spans="1:20" x14ac:dyDescent="0.3">
      <c r="A118" s="4">
        <v>10071</v>
      </c>
      <c r="B118" s="5" t="s">
        <v>353</v>
      </c>
      <c r="C118" s="5" t="s">
        <v>354</v>
      </c>
      <c r="D118" s="5" t="s">
        <v>355</v>
      </c>
      <c r="E118" s="5" t="s">
        <v>16</v>
      </c>
      <c r="F118" s="15">
        <v>32051</v>
      </c>
      <c r="G118" s="5">
        <v>4</v>
      </c>
      <c r="H118" s="5" t="s">
        <v>34</v>
      </c>
      <c r="I118" s="5">
        <v>0</v>
      </c>
      <c r="J118" s="5" t="s">
        <v>24</v>
      </c>
      <c r="K118" s="12">
        <v>40000</v>
      </c>
      <c r="L118" s="5" t="s">
        <v>43</v>
      </c>
      <c r="M118" s="6" t="s">
        <v>39</v>
      </c>
      <c r="N118" s="15">
        <v>21206</v>
      </c>
      <c r="O118" s="15">
        <v>32051</v>
      </c>
      <c r="P118" s="5"/>
      <c r="Q118" s="2" t="str">
        <f>INDEX(Table3[#All], MATCH(Table1[[#This Row],[Dept_Id]], Table3[[#All],[Dept_Id]], 0), 1)</f>
        <v>Human Resources</v>
      </c>
      <c r="R118" s="22" t="str">
        <f>IF(Table1[[#This Row],[Left?]] = 1, (Table1[[#This Row],[New_Last_Date]]-Table1[[#This Row],[New_DoJ]])/365.25, "")</f>
        <v/>
      </c>
      <c r="S118" s="2" cm="1">
        <f t="array" ref="S11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18" s="2" t="str">
        <f>IF(Table1[[#This Row],[New_DoJ]] &gt;= EDATE( MAX(Table1[New_DoJ]), -24), "Yes", "No")</f>
        <v>No</v>
      </c>
    </row>
    <row r="119" spans="1:20" x14ac:dyDescent="0.3">
      <c r="A119" s="4">
        <v>215615</v>
      </c>
      <c r="B119" s="5" t="s">
        <v>356</v>
      </c>
      <c r="C119" s="5" t="s">
        <v>188</v>
      </c>
      <c r="D119" s="5" t="s">
        <v>357</v>
      </c>
      <c r="E119" s="5" t="s">
        <v>33</v>
      </c>
      <c r="F119" s="15">
        <v>32881</v>
      </c>
      <c r="G119" s="5">
        <v>10</v>
      </c>
      <c r="H119" s="5" t="s">
        <v>17</v>
      </c>
      <c r="I119" s="5">
        <v>0</v>
      </c>
      <c r="J119" s="5" t="s">
        <v>24</v>
      </c>
      <c r="K119" s="12">
        <v>40000</v>
      </c>
      <c r="L119" s="5" t="s">
        <v>25</v>
      </c>
      <c r="M119" s="6" t="s">
        <v>50</v>
      </c>
      <c r="N119" s="15">
        <v>20864</v>
      </c>
      <c r="O119" s="15">
        <v>32881</v>
      </c>
      <c r="P119" s="5"/>
      <c r="Q119" s="2" t="str">
        <f>INDEX(Table3[#All], MATCH(Table1[[#This Row],[Dept_Id]], Table3[[#All],[Dept_Id]], 0), 1)</f>
        <v>Production</v>
      </c>
      <c r="R119" s="22" t="str">
        <f>IF(Table1[[#This Row],[Left?]] = 1, (Table1[[#This Row],[New_Last_Date]]-Table1[[#This Row],[New_DoJ]])/365.25, "")</f>
        <v/>
      </c>
      <c r="S119" s="2" cm="1">
        <f t="array" ref="S11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19" s="2" t="str">
        <f>IF(Table1[[#This Row],[New_DoJ]] &gt;= EDATE( MAX(Table1[New_DoJ]), -24), "Yes", "No")</f>
        <v>No</v>
      </c>
    </row>
    <row r="120" spans="1:20" x14ac:dyDescent="0.3">
      <c r="A120" s="4">
        <v>215615</v>
      </c>
      <c r="B120" s="5" t="s">
        <v>356</v>
      </c>
      <c r="C120" s="5" t="s">
        <v>188</v>
      </c>
      <c r="D120" s="5" t="s">
        <v>357</v>
      </c>
      <c r="E120" s="5" t="s">
        <v>33</v>
      </c>
      <c r="F120" s="15">
        <v>32881</v>
      </c>
      <c r="G120" s="5">
        <v>10</v>
      </c>
      <c r="H120" s="5" t="s">
        <v>17</v>
      </c>
      <c r="I120" s="5">
        <v>0</v>
      </c>
      <c r="J120" s="5" t="s">
        <v>24</v>
      </c>
      <c r="K120" s="12">
        <v>40000</v>
      </c>
      <c r="L120" s="5" t="s">
        <v>63</v>
      </c>
      <c r="M120" s="6" t="s">
        <v>50</v>
      </c>
      <c r="N120" s="15">
        <v>20864</v>
      </c>
      <c r="O120" s="15">
        <v>32881</v>
      </c>
      <c r="P120" s="5"/>
      <c r="Q120" s="2" t="str">
        <f>INDEX(Table3[#All], MATCH(Table1[[#This Row],[Dept_Id]], Table3[[#All],[Dept_Id]], 0), 1)</f>
        <v>Quality Management</v>
      </c>
      <c r="R120" s="22" t="str">
        <f>IF(Table1[[#This Row],[Left?]] = 1, (Table1[[#This Row],[New_Last_Date]]-Table1[[#This Row],[New_DoJ]])/365.25, "")</f>
        <v/>
      </c>
      <c r="S120" s="2" cm="1">
        <f t="array" ref="S12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20" s="2" t="str">
        <f>IF(Table1[[#This Row],[New_DoJ]] &gt;= EDATE( MAX(Table1[New_DoJ]), -24), "Yes", "No")</f>
        <v>No</v>
      </c>
    </row>
    <row r="121" spans="1:20" x14ac:dyDescent="0.3">
      <c r="A121" s="4">
        <v>10072</v>
      </c>
      <c r="B121" s="5" t="s">
        <v>358</v>
      </c>
      <c r="C121" s="5" t="s">
        <v>359</v>
      </c>
      <c r="D121" s="5" t="s">
        <v>360</v>
      </c>
      <c r="E121" s="5" t="s">
        <v>33</v>
      </c>
      <c r="F121" s="15">
        <v>32345</v>
      </c>
      <c r="G121" s="5">
        <v>8</v>
      </c>
      <c r="H121" s="5" t="s">
        <v>34</v>
      </c>
      <c r="I121" s="5">
        <v>0</v>
      </c>
      <c r="J121" s="5" t="s">
        <v>24</v>
      </c>
      <c r="K121" s="12">
        <v>40000</v>
      </c>
      <c r="L121" s="5" t="s">
        <v>19</v>
      </c>
      <c r="M121" s="6" t="s">
        <v>20</v>
      </c>
      <c r="N121" s="15">
        <v>19129</v>
      </c>
      <c r="O121" s="15">
        <v>32345</v>
      </c>
      <c r="P121" s="5"/>
      <c r="Q121" s="2" t="str">
        <f>INDEX(Table3[#All], MATCH(Table1[[#This Row],[Dept_Id]], Table3[[#All],[Dept_Id]], 0), 1)</f>
        <v>Development</v>
      </c>
      <c r="R121" s="22" t="str">
        <f>IF(Table1[[#This Row],[Left?]] = 1, (Table1[[#This Row],[New_Last_Date]]-Table1[[#This Row],[New_DoJ]])/365.25, "")</f>
        <v/>
      </c>
      <c r="S121" s="2" cm="1">
        <f t="array" ref="S12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21" s="2" t="str">
        <f>IF(Table1[[#This Row],[New_DoJ]] &gt;= EDATE( MAX(Table1[New_DoJ]), -24), "Yes", "No")</f>
        <v>No</v>
      </c>
    </row>
    <row r="122" spans="1:20" x14ac:dyDescent="0.3">
      <c r="A122" s="4">
        <v>10073</v>
      </c>
      <c r="B122" s="5" t="s">
        <v>361</v>
      </c>
      <c r="C122" s="5" t="s">
        <v>362</v>
      </c>
      <c r="D122" s="5" t="s">
        <v>363</v>
      </c>
      <c r="E122" s="5" t="s">
        <v>16</v>
      </c>
      <c r="F122" s="15">
        <v>33573</v>
      </c>
      <c r="G122" s="5">
        <v>5</v>
      </c>
      <c r="H122" s="5" t="s">
        <v>17</v>
      </c>
      <c r="I122" s="5">
        <v>0</v>
      </c>
      <c r="J122" s="5" t="s">
        <v>24</v>
      </c>
      <c r="K122" s="12">
        <v>56473</v>
      </c>
      <c r="L122" s="5" t="s">
        <v>63</v>
      </c>
      <c r="M122" s="6" t="s">
        <v>50</v>
      </c>
      <c r="N122" s="15">
        <v>19778</v>
      </c>
      <c r="O122" s="15">
        <v>33573</v>
      </c>
      <c r="P122" s="5"/>
      <c r="Q122" s="2" t="str">
        <f>INDEX(Table3[#All], MATCH(Table1[[#This Row],[Dept_Id]], Table3[[#All],[Dept_Id]], 0), 1)</f>
        <v>Quality Management</v>
      </c>
      <c r="R122" s="22" t="str">
        <f>IF(Table1[[#This Row],[Left?]] = 1, (Table1[[#This Row],[New_Last_Date]]-Table1[[#This Row],[New_DoJ]])/365.25, "")</f>
        <v/>
      </c>
      <c r="S122" s="2" cm="1">
        <f t="array" ref="S12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22" s="2" t="str">
        <f>IF(Table1[[#This Row],[New_DoJ]] &gt;= EDATE( MAX(Table1[New_DoJ]), -24), "Yes", "No")</f>
        <v>No</v>
      </c>
    </row>
    <row r="123" spans="1:20" x14ac:dyDescent="0.3">
      <c r="A123" s="4">
        <v>95280</v>
      </c>
      <c r="B123" s="5" t="s">
        <v>364</v>
      </c>
      <c r="C123" s="5" t="s">
        <v>365</v>
      </c>
      <c r="D123" s="5" t="s">
        <v>366</v>
      </c>
      <c r="E123" s="5" t="s">
        <v>33</v>
      </c>
      <c r="F123" s="15">
        <v>31266</v>
      </c>
      <c r="G123" s="5">
        <v>10</v>
      </c>
      <c r="H123" s="5" t="s">
        <v>291</v>
      </c>
      <c r="I123" s="5">
        <v>0</v>
      </c>
      <c r="J123" s="5" t="s">
        <v>24</v>
      </c>
      <c r="K123" s="12">
        <v>40000</v>
      </c>
      <c r="L123" s="5" t="s">
        <v>25</v>
      </c>
      <c r="M123" s="6" t="s">
        <v>20</v>
      </c>
      <c r="N123" s="15">
        <v>21960</v>
      </c>
      <c r="O123" s="15">
        <v>31266</v>
      </c>
      <c r="P123" s="5"/>
      <c r="Q123" s="2" t="str">
        <f>INDEX(Table3[#All], MATCH(Table1[[#This Row],[Dept_Id]], Table3[[#All],[Dept_Id]], 0), 1)</f>
        <v>Production</v>
      </c>
      <c r="R123" s="22" t="str">
        <f>IF(Table1[[#This Row],[Left?]] = 1, (Table1[[#This Row],[New_Last_Date]]-Table1[[#This Row],[New_DoJ]])/365.25, "")</f>
        <v/>
      </c>
      <c r="S123" s="2" cm="1">
        <f t="array" ref="S12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5</v>
      </c>
      <c r="T123" s="2" t="str">
        <f>IF(Table1[[#This Row],[New_DoJ]] &gt;= EDATE( MAX(Table1[New_DoJ]), -24), "Yes", "No")</f>
        <v>No</v>
      </c>
    </row>
    <row r="124" spans="1:20" x14ac:dyDescent="0.3">
      <c r="A124" s="4">
        <v>10074</v>
      </c>
      <c r="B124" s="5" t="s">
        <v>367</v>
      </c>
      <c r="C124" s="5" t="s">
        <v>368</v>
      </c>
      <c r="D124" s="5" t="s">
        <v>369</v>
      </c>
      <c r="E124" s="5" t="s">
        <v>33</v>
      </c>
      <c r="F124" s="15">
        <v>33098</v>
      </c>
      <c r="G124" s="5">
        <v>8</v>
      </c>
      <c r="H124" s="5" t="s">
        <v>115</v>
      </c>
      <c r="I124" s="5">
        <v>1</v>
      </c>
      <c r="J124" s="5" t="s">
        <v>370</v>
      </c>
      <c r="K124" s="12">
        <v>61714</v>
      </c>
      <c r="L124" s="5" t="s">
        <v>19</v>
      </c>
      <c r="M124" s="6" t="s">
        <v>129</v>
      </c>
      <c r="N124" s="15">
        <v>20329</v>
      </c>
      <c r="O124" s="15">
        <v>33098</v>
      </c>
      <c r="P124" s="15">
        <v>34841</v>
      </c>
      <c r="Q124" s="2" t="str">
        <f>INDEX(Table3[#All], MATCH(Table1[[#This Row],[Dept_Id]], Table3[[#All],[Dept_Id]], 0), 1)</f>
        <v>Development</v>
      </c>
      <c r="R124" s="22">
        <f>IF(Table1[[#This Row],[Left?]] = 1, (Table1[[#This Row],[New_Last_Date]]-Table1[[#This Row],[New_DoJ]])/365.25, "")</f>
        <v>4.7720739219712529</v>
      </c>
      <c r="S124" s="2" cm="1">
        <f t="array" ref="S12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124" s="2" t="str">
        <f>IF(Table1[[#This Row],[New_DoJ]] &gt;= EDATE( MAX(Table1[New_DoJ]), -24), "Yes", "No")</f>
        <v>No</v>
      </c>
    </row>
    <row r="125" spans="1:20" x14ac:dyDescent="0.3">
      <c r="A125" s="4">
        <v>10075</v>
      </c>
      <c r="B125" s="5" t="s">
        <v>371</v>
      </c>
      <c r="C125" s="5" t="s">
        <v>372</v>
      </c>
      <c r="D125" s="5" t="s">
        <v>373</v>
      </c>
      <c r="E125" s="5" t="s">
        <v>33</v>
      </c>
      <c r="F125" s="15">
        <v>31855</v>
      </c>
      <c r="G125" s="5">
        <v>4</v>
      </c>
      <c r="H125" s="5" t="s">
        <v>34</v>
      </c>
      <c r="I125" s="5">
        <v>0</v>
      </c>
      <c r="J125" s="5" t="s">
        <v>24</v>
      </c>
      <c r="K125" s="12">
        <v>43815</v>
      </c>
      <c r="L125" s="5" t="s">
        <v>19</v>
      </c>
      <c r="M125" s="6" t="s">
        <v>20</v>
      </c>
      <c r="N125" s="15">
        <v>21984</v>
      </c>
      <c r="O125" s="15">
        <v>31855</v>
      </c>
      <c r="P125" s="5"/>
      <c r="Q125" s="2" t="str">
        <f>INDEX(Table3[#All], MATCH(Table1[[#This Row],[Dept_Id]], Table3[[#All],[Dept_Id]], 0), 1)</f>
        <v>Development</v>
      </c>
      <c r="R125" s="22" t="str">
        <f>IF(Table1[[#This Row],[Left?]] = 1, (Table1[[#This Row],[New_Last_Date]]-Table1[[#This Row],[New_DoJ]])/365.25, "")</f>
        <v/>
      </c>
      <c r="S125" s="2" cm="1">
        <f t="array" ref="S12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25" s="2" t="str">
        <f>IF(Table1[[#This Row],[New_DoJ]] &gt;= EDATE( MAX(Table1[New_DoJ]), -24), "Yes", "No")</f>
        <v>No</v>
      </c>
    </row>
    <row r="126" spans="1:20" x14ac:dyDescent="0.3">
      <c r="A126" s="4">
        <v>37473</v>
      </c>
      <c r="B126" s="5" t="s">
        <v>374</v>
      </c>
      <c r="C126" s="5" t="s">
        <v>147</v>
      </c>
      <c r="D126" s="5" t="s">
        <v>375</v>
      </c>
      <c r="E126" s="5" t="s">
        <v>16</v>
      </c>
      <c r="F126" s="15">
        <v>34381</v>
      </c>
      <c r="G126" s="5">
        <v>3</v>
      </c>
      <c r="H126" s="5" t="s">
        <v>115</v>
      </c>
      <c r="I126" s="5">
        <v>0</v>
      </c>
      <c r="J126" s="5" t="s">
        <v>24</v>
      </c>
      <c r="K126" s="12">
        <v>55963</v>
      </c>
      <c r="L126" s="5" t="s">
        <v>92</v>
      </c>
      <c r="M126" s="6" t="s">
        <v>39</v>
      </c>
      <c r="N126" s="15">
        <v>19059</v>
      </c>
      <c r="O126" s="15">
        <v>34381</v>
      </c>
      <c r="P126" s="5"/>
      <c r="Q126" s="2" t="str">
        <f>INDEX(Table3[#All], MATCH(Table1[[#This Row],[Dept_Id]], Table3[[#All],[Dept_Id]], 0), 1)</f>
        <v>Finance</v>
      </c>
      <c r="R126" s="22" t="str">
        <f>IF(Table1[[#This Row],[Left?]] = 1, (Table1[[#This Row],[New_Last_Date]]-Table1[[#This Row],[New_DoJ]])/365.25, "")</f>
        <v/>
      </c>
      <c r="S126" s="2" cm="1">
        <f t="array" ref="S12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126" s="2" t="str">
        <f>IF(Table1[[#This Row],[New_DoJ]] &gt;= EDATE( MAX(Table1[New_DoJ]), -24), "Yes", "No")</f>
        <v>No</v>
      </c>
    </row>
    <row r="127" spans="1:20" x14ac:dyDescent="0.3">
      <c r="A127" s="4">
        <v>10076</v>
      </c>
      <c r="B127" s="5" t="s">
        <v>376</v>
      </c>
      <c r="C127" s="5" t="s">
        <v>377</v>
      </c>
      <c r="D127" s="5" t="s">
        <v>378</v>
      </c>
      <c r="E127" s="5" t="s">
        <v>33</v>
      </c>
      <c r="F127" s="15">
        <v>31237</v>
      </c>
      <c r="G127" s="5">
        <v>9</v>
      </c>
      <c r="H127" s="5" t="s">
        <v>34</v>
      </c>
      <c r="I127" s="5">
        <v>0</v>
      </c>
      <c r="J127" s="5" t="s">
        <v>24</v>
      </c>
      <c r="K127" s="12">
        <v>47319</v>
      </c>
      <c r="L127" s="5" t="s">
        <v>19</v>
      </c>
      <c r="M127" s="6" t="s">
        <v>20</v>
      </c>
      <c r="N127" s="15">
        <v>19158</v>
      </c>
      <c r="O127" s="15">
        <v>31237</v>
      </c>
      <c r="P127" s="5"/>
      <c r="Q127" s="2" t="str">
        <f>INDEX(Table3[#All], MATCH(Table1[[#This Row],[Dept_Id]], Table3[[#All],[Dept_Id]], 0), 1)</f>
        <v>Development</v>
      </c>
      <c r="R127" s="22" t="str">
        <f>IF(Table1[[#This Row],[Left?]] = 1, (Table1[[#This Row],[New_Last_Date]]-Table1[[#This Row],[New_DoJ]])/365.25, "")</f>
        <v/>
      </c>
      <c r="S127" s="2" cm="1">
        <f t="array" ref="S12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27" s="2" t="str">
        <f>IF(Table1[[#This Row],[New_DoJ]] &gt;= EDATE( MAX(Table1[New_DoJ]), -24), "Yes", "No")</f>
        <v>No</v>
      </c>
    </row>
    <row r="128" spans="1:20" x14ac:dyDescent="0.3">
      <c r="A128" s="4">
        <v>10077</v>
      </c>
      <c r="B128" s="5" t="s">
        <v>379</v>
      </c>
      <c r="C128" s="5" t="s">
        <v>380</v>
      </c>
      <c r="D128" s="5" t="s">
        <v>381</v>
      </c>
      <c r="E128" s="5" t="s">
        <v>16</v>
      </c>
      <c r="F128" s="15">
        <v>32934</v>
      </c>
      <c r="G128" s="5">
        <v>2</v>
      </c>
      <c r="H128" s="5" t="s">
        <v>17</v>
      </c>
      <c r="I128" s="5">
        <v>0</v>
      </c>
      <c r="J128" s="5" t="s">
        <v>24</v>
      </c>
      <c r="K128" s="12">
        <v>40000</v>
      </c>
      <c r="L128" s="5" t="s">
        <v>43</v>
      </c>
      <c r="M128" s="6" t="s">
        <v>39</v>
      </c>
      <c r="N128" s="15">
        <v>23485</v>
      </c>
      <c r="O128" s="15">
        <v>32934</v>
      </c>
      <c r="P128" s="5"/>
      <c r="Q128" s="2" t="str">
        <f>INDEX(Table3[#All], MATCH(Table1[[#This Row],[Dept_Id]], Table3[[#All],[Dept_Id]], 0), 1)</f>
        <v>Human Resources</v>
      </c>
      <c r="R128" s="22" t="str">
        <f>IF(Table1[[#This Row],[Left?]] = 1, (Table1[[#This Row],[New_Last_Date]]-Table1[[#This Row],[New_DoJ]])/365.25, "")</f>
        <v/>
      </c>
      <c r="S128" s="2" cm="1">
        <f t="array" ref="S12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28" s="2" t="str">
        <f>IF(Table1[[#This Row],[New_DoJ]] &gt;= EDATE( MAX(Table1[New_DoJ]), -24), "Yes", "No")</f>
        <v>No</v>
      </c>
    </row>
    <row r="129" spans="1:20" x14ac:dyDescent="0.3">
      <c r="A129" s="4">
        <v>43471</v>
      </c>
      <c r="B129" s="5" t="s">
        <v>382</v>
      </c>
      <c r="C129" s="5" t="s">
        <v>383</v>
      </c>
      <c r="D129" s="5" t="s">
        <v>384</v>
      </c>
      <c r="E129" s="5" t="s">
        <v>33</v>
      </c>
      <c r="F129" s="15">
        <v>34829</v>
      </c>
      <c r="G129" s="5">
        <v>6</v>
      </c>
      <c r="H129" s="5" t="s">
        <v>34</v>
      </c>
      <c r="I129" s="5">
        <v>1</v>
      </c>
      <c r="J129" s="5" t="s">
        <v>385</v>
      </c>
      <c r="K129" s="12">
        <v>40023</v>
      </c>
      <c r="L129" s="5" t="s">
        <v>25</v>
      </c>
      <c r="M129" s="6" t="s">
        <v>50</v>
      </c>
      <c r="N129" s="15">
        <v>23386</v>
      </c>
      <c r="O129" s="15">
        <v>34829</v>
      </c>
      <c r="P129" s="15">
        <v>39213</v>
      </c>
      <c r="Q129" s="2" t="str">
        <f>INDEX(Table3[#All], MATCH(Table1[[#This Row],[Dept_Id]], Table3[[#All],[Dept_Id]], 0), 1)</f>
        <v>Production</v>
      </c>
      <c r="R129" s="22">
        <f>IF(Table1[[#This Row],[Left?]] = 1, (Table1[[#This Row],[New_Last_Date]]-Table1[[#This Row],[New_DoJ]])/365.25, "")</f>
        <v>12.002737850787133</v>
      </c>
      <c r="S129" s="2" cm="1">
        <f t="array" ref="S12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29" s="2" t="str">
        <f>IF(Table1[[#This Row],[New_DoJ]] &gt;= EDATE( MAX(Table1[New_DoJ]), -24), "Yes", "No")</f>
        <v>No</v>
      </c>
    </row>
    <row r="130" spans="1:20" x14ac:dyDescent="0.3">
      <c r="A130" s="4">
        <v>10078</v>
      </c>
      <c r="B130" s="5" t="s">
        <v>386</v>
      </c>
      <c r="C130" s="5" t="s">
        <v>387</v>
      </c>
      <c r="D130" s="5" t="s">
        <v>388</v>
      </c>
      <c r="E130" s="5" t="s">
        <v>33</v>
      </c>
      <c r="F130" s="15">
        <v>31923</v>
      </c>
      <c r="G130" s="5">
        <v>10</v>
      </c>
      <c r="H130" s="5" t="s">
        <v>29</v>
      </c>
      <c r="I130" s="5">
        <v>0</v>
      </c>
      <c r="J130" s="5" t="s">
        <v>24</v>
      </c>
      <c r="K130" s="12">
        <v>47280</v>
      </c>
      <c r="L130" s="5" t="s">
        <v>19</v>
      </c>
      <c r="M130" s="6" t="s">
        <v>50</v>
      </c>
      <c r="N130" s="15">
        <v>21909</v>
      </c>
      <c r="O130" s="15">
        <v>31923</v>
      </c>
      <c r="P130" s="5"/>
      <c r="Q130" s="2" t="str">
        <f>INDEX(Table3[#All], MATCH(Table1[[#This Row],[Dept_Id]], Table3[[#All],[Dept_Id]], 0), 1)</f>
        <v>Development</v>
      </c>
      <c r="R130" s="22" t="str">
        <f>IF(Table1[[#This Row],[Left?]] = 1, (Table1[[#This Row],[New_Last_Date]]-Table1[[#This Row],[New_DoJ]])/365.25, "")</f>
        <v/>
      </c>
      <c r="S130" s="2" cm="1">
        <f t="array" ref="S13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30" s="2" t="str">
        <f>IF(Table1[[#This Row],[New_DoJ]] &gt;= EDATE( MAX(Table1[New_DoJ]), -24), "Yes", "No")</f>
        <v>No</v>
      </c>
    </row>
    <row r="131" spans="1:20" x14ac:dyDescent="0.3">
      <c r="A131" s="4">
        <v>10079</v>
      </c>
      <c r="B131" s="5" t="s">
        <v>389</v>
      </c>
      <c r="C131" s="5" t="s">
        <v>390</v>
      </c>
      <c r="D131" s="5" t="s">
        <v>391</v>
      </c>
      <c r="E131" s="5" t="s">
        <v>33</v>
      </c>
      <c r="F131" s="15">
        <v>31498</v>
      </c>
      <c r="G131" s="5">
        <v>2</v>
      </c>
      <c r="H131" s="5" t="s">
        <v>34</v>
      </c>
      <c r="I131" s="5">
        <v>0</v>
      </c>
      <c r="J131" s="5" t="s">
        <v>24</v>
      </c>
      <c r="K131" s="12">
        <v>53492</v>
      </c>
      <c r="L131" s="5" t="s">
        <v>19</v>
      </c>
      <c r="M131" s="6" t="s">
        <v>129</v>
      </c>
      <c r="N131" s="15">
        <v>22559</v>
      </c>
      <c r="O131" s="15">
        <v>31498</v>
      </c>
      <c r="P131" s="5"/>
      <c r="Q131" s="2" t="str">
        <f>INDEX(Table3[#All], MATCH(Table1[[#This Row],[Dept_Id]], Table3[[#All],[Dept_Id]], 0), 1)</f>
        <v>Development</v>
      </c>
      <c r="R131" s="22" t="str">
        <f>IF(Table1[[#This Row],[Left?]] = 1, (Table1[[#This Row],[New_Last_Date]]-Table1[[#This Row],[New_DoJ]])/365.25, "")</f>
        <v/>
      </c>
      <c r="S131" s="2" cm="1">
        <f t="array" ref="S13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31" s="2" t="str">
        <f>IF(Table1[[#This Row],[New_DoJ]] &gt;= EDATE( MAX(Table1[New_DoJ]), -24), "Yes", "No")</f>
        <v>No</v>
      </c>
    </row>
    <row r="132" spans="1:20" x14ac:dyDescent="0.3">
      <c r="A132" s="4">
        <v>289261</v>
      </c>
      <c r="B132" s="5" t="s">
        <v>392</v>
      </c>
      <c r="C132" s="5" t="s">
        <v>393</v>
      </c>
      <c r="D132" s="5" t="s">
        <v>394</v>
      </c>
      <c r="E132" s="5" t="s">
        <v>16</v>
      </c>
      <c r="F132" s="15">
        <v>31321</v>
      </c>
      <c r="G132" s="5">
        <v>5</v>
      </c>
      <c r="H132" s="5" t="s">
        <v>34</v>
      </c>
      <c r="I132" s="5">
        <v>0</v>
      </c>
      <c r="J132" s="5" t="s">
        <v>24</v>
      </c>
      <c r="K132" s="12">
        <v>63068</v>
      </c>
      <c r="L132" s="5" t="s">
        <v>38</v>
      </c>
      <c r="M132" s="6" t="s">
        <v>39</v>
      </c>
      <c r="N132" s="15">
        <v>21220</v>
      </c>
      <c r="O132" s="15">
        <v>31321</v>
      </c>
      <c r="P132" s="5"/>
      <c r="Q132" s="2" t="str">
        <f>INDEX(Table3[#All], MATCH(Table1[[#This Row],[Dept_Id]], Table3[[#All],[Dept_Id]], 0), 1)</f>
        <v>Sales</v>
      </c>
      <c r="R132" s="22" t="str">
        <f>IF(Table1[[#This Row],[Left?]] = 1, (Table1[[#This Row],[New_Last_Date]]-Table1[[#This Row],[New_DoJ]])/365.25, "")</f>
        <v/>
      </c>
      <c r="S132" s="2" cm="1">
        <f t="array" ref="S13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32" s="2" t="str">
        <f>IF(Table1[[#This Row],[New_DoJ]] &gt;= EDATE( MAX(Table1[New_DoJ]), -24), "Yes", "No")</f>
        <v>No</v>
      </c>
    </row>
    <row r="133" spans="1:20" x14ac:dyDescent="0.3">
      <c r="A133" s="4">
        <v>10080</v>
      </c>
      <c r="B133" s="5" t="s">
        <v>395</v>
      </c>
      <c r="C133" s="5" t="s">
        <v>396</v>
      </c>
      <c r="D133" s="5" t="s">
        <v>397</v>
      </c>
      <c r="E133" s="5" t="s">
        <v>16</v>
      </c>
      <c r="F133" s="15">
        <v>31370</v>
      </c>
      <c r="G133" s="5">
        <v>3</v>
      </c>
      <c r="H133" s="5" t="s">
        <v>29</v>
      </c>
      <c r="I133" s="5">
        <v>0</v>
      </c>
      <c r="J133" s="5" t="s">
        <v>24</v>
      </c>
      <c r="K133" s="12">
        <v>54916</v>
      </c>
      <c r="L133" s="5" t="s">
        <v>92</v>
      </c>
      <c r="M133" s="6" t="s">
        <v>39</v>
      </c>
      <c r="N133" s="15">
        <v>21157</v>
      </c>
      <c r="O133" s="15">
        <v>31370</v>
      </c>
      <c r="P133" s="5"/>
      <c r="Q133" s="2" t="str">
        <f>INDEX(Table3[#All], MATCH(Table1[[#This Row],[Dept_Id]], Table3[[#All],[Dept_Id]], 0), 1)</f>
        <v>Finance</v>
      </c>
      <c r="R133" s="22" t="str">
        <f>IF(Table1[[#This Row],[Left?]] = 1, (Table1[[#This Row],[New_Last_Date]]-Table1[[#This Row],[New_DoJ]])/365.25, "")</f>
        <v/>
      </c>
      <c r="S133" s="2" cm="1">
        <f t="array" ref="S13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33" s="2" t="str">
        <f>IF(Table1[[#This Row],[New_DoJ]] &gt;= EDATE( MAX(Table1[New_DoJ]), -24), "Yes", "No")</f>
        <v>No</v>
      </c>
    </row>
    <row r="134" spans="1:20" x14ac:dyDescent="0.3">
      <c r="A134" s="4">
        <v>10080</v>
      </c>
      <c r="B134" s="5" t="s">
        <v>395</v>
      </c>
      <c r="C134" s="5" t="s">
        <v>396</v>
      </c>
      <c r="D134" s="5" t="s">
        <v>397</v>
      </c>
      <c r="E134" s="5" t="s">
        <v>16</v>
      </c>
      <c r="F134" s="15">
        <v>31370</v>
      </c>
      <c r="G134" s="5">
        <v>3</v>
      </c>
      <c r="H134" s="5" t="s">
        <v>29</v>
      </c>
      <c r="I134" s="5">
        <v>0</v>
      </c>
      <c r="J134" s="5" t="s">
        <v>24</v>
      </c>
      <c r="K134" s="12">
        <v>54916</v>
      </c>
      <c r="L134" s="5" t="s">
        <v>43</v>
      </c>
      <c r="M134" s="6" t="s">
        <v>39</v>
      </c>
      <c r="N134" s="15">
        <v>21157</v>
      </c>
      <c r="O134" s="15">
        <v>31370</v>
      </c>
      <c r="P134" s="5"/>
      <c r="Q134" s="2" t="str">
        <f>INDEX(Table3[#All], MATCH(Table1[[#This Row],[Dept_Id]], Table3[[#All],[Dept_Id]], 0), 1)</f>
        <v>Human Resources</v>
      </c>
      <c r="R134" s="22" t="str">
        <f>IF(Table1[[#This Row],[Left?]] = 1, (Table1[[#This Row],[New_Last_Date]]-Table1[[#This Row],[New_DoJ]])/365.25, "")</f>
        <v/>
      </c>
      <c r="S134" s="2" cm="1">
        <f t="array" ref="S13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34" s="2" t="str">
        <f>IF(Table1[[#This Row],[New_DoJ]] &gt;= EDATE( MAX(Table1[New_DoJ]), -24), "Yes", "No")</f>
        <v>No</v>
      </c>
    </row>
    <row r="135" spans="1:20" x14ac:dyDescent="0.3">
      <c r="A135" s="4">
        <v>26941</v>
      </c>
      <c r="B135" s="5" t="s">
        <v>398</v>
      </c>
      <c r="C135" s="5" t="s">
        <v>399</v>
      </c>
      <c r="D135" s="5" t="s">
        <v>400</v>
      </c>
      <c r="E135" s="5" t="s">
        <v>16</v>
      </c>
      <c r="F135" s="15">
        <v>32747</v>
      </c>
      <c r="G135" s="5">
        <v>7</v>
      </c>
      <c r="H135" s="5" t="s">
        <v>17</v>
      </c>
      <c r="I135" s="5">
        <v>0</v>
      </c>
      <c r="J135" s="5" t="s">
        <v>24</v>
      </c>
      <c r="K135" s="12">
        <v>40000</v>
      </c>
      <c r="L135" s="5" t="s">
        <v>19</v>
      </c>
      <c r="M135" s="6" t="s">
        <v>20</v>
      </c>
      <c r="N135" s="15">
        <v>23347</v>
      </c>
      <c r="O135" s="15">
        <v>32747</v>
      </c>
      <c r="P135" s="5"/>
      <c r="Q135" s="2" t="str">
        <f>INDEX(Table3[#All], MATCH(Table1[[#This Row],[Dept_Id]], Table3[[#All],[Dept_Id]], 0), 1)</f>
        <v>Development</v>
      </c>
      <c r="R135" s="22" t="str">
        <f>IF(Table1[[#This Row],[Left?]] = 1, (Table1[[#This Row],[New_Last_Date]]-Table1[[#This Row],[New_DoJ]])/365.25, "")</f>
        <v/>
      </c>
      <c r="S135" s="2" cm="1">
        <f t="array" ref="S13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35" s="2" t="str">
        <f>IF(Table1[[#This Row],[New_DoJ]] &gt;= EDATE( MAX(Table1[New_DoJ]), -24), "Yes", "No")</f>
        <v>No</v>
      </c>
    </row>
    <row r="136" spans="1:20" x14ac:dyDescent="0.3">
      <c r="A136" s="4">
        <v>10081</v>
      </c>
      <c r="B136" s="5" t="s">
        <v>401</v>
      </c>
      <c r="C136" s="5" t="s">
        <v>402</v>
      </c>
      <c r="D136" s="5" t="s">
        <v>403</v>
      </c>
      <c r="E136" s="5" t="s">
        <v>16</v>
      </c>
      <c r="F136" s="15">
        <v>31715</v>
      </c>
      <c r="G136" s="5">
        <v>5</v>
      </c>
      <c r="H136" s="5" t="s">
        <v>29</v>
      </c>
      <c r="I136" s="5">
        <v>0</v>
      </c>
      <c r="J136" s="5" t="s">
        <v>24</v>
      </c>
      <c r="K136" s="12">
        <v>55786</v>
      </c>
      <c r="L136" s="5" t="s">
        <v>25</v>
      </c>
      <c r="M136" s="6" t="s">
        <v>20</v>
      </c>
      <c r="N136" s="15">
        <v>22267</v>
      </c>
      <c r="O136" s="15">
        <v>31715</v>
      </c>
      <c r="P136" s="5"/>
      <c r="Q136" s="2" t="str">
        <f>INDEX(Table3[#All], MATCH(Table1[[#This Row],[Dept_Id]], Table3[[#All],[Dept_Id]], 0), 1)</f>
        <v>Production</v>
      </c>
      <c r="R136" s="22" t="str">
        <f>IF(Table1[[#This Row],[Left?]] = 1, (Table1[[#This Row],[New_Last_Date]]-Table1[[#This Row],[New_DoJ]])/365.25, "")</f>
        <v/>
      </c>
      <c r="S136" s="2" cm="1">
        <f t="array" ref="S13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36" s="2" t="str">
        <f>IF(Table1[[#This Row],[New_DoJ]] &gt;= EDATE( MAX(Table1[New_DoJ]), -24), "Yes", "No")</f>
        <v>No</v>
      </c>
    </row>
    <row r="137" spans="1:20" x14ac:dyDescent="0.3">
      <c r="A137" s="4">
        <v>10082</v>
      </c>
      <c r="B137" s="5" t="s">
        <v>404</v>
      </c>
      <c r="C137" s="5" t="s">
        <v>405</v>
      </c>
      <c r="D137" s="5" t="s">
        <v>204</v>
      </c>
      <c r="E137" s="5" t="s">
        <v>16</v>
      </c>
      <c r="F137" s="15">
        <v>32876</v>
      </c>
      <c r="G137" s="5">
        <v>9</v>
      </c>
      <c r="H137" s="5" t="s">
        <v>17</v>
      </c>
      <c r="I137" s="5">
        <v>1</v>
      </c>
      <c r="J137" s="5" t="s">
        <v>406</v>
      </c>
      <c r="K137" s="12">
        <v>48935</v>
      </c>
      <c r="L137" s="5" t="s">
        <v>55</v>
      </c>
      <c r="M137" s="6" t="s">
        <v>39</v>
      </c>
      <c r="N137" s="15">
        <v>23263</v>
      </c>
      <c r="O137" s="15">
        <v>32876</v>
      </c>
      <c r="P137" s="15">
        <v>36631</v>
      </c>
      <c r="Q137" s="2" t="str">
        <f>INDEX(Table3[#All], MATCH(Table1[[#This Row],[Dept_Id]], Table3[[#All],[Dept_Id]], 0), 1)</f>
        <v>Research</v>
      </c>
      <c r="R137" s="22">
        <f>IF(Table1[[#This Row],[Left?]] = 1, (Table1[[#This Row],[New_Last_Date]]-Table1[[#This Row],[New_DoJ]])/365.25, "")</f>
        <v>10.28062970568104</v>
      </c>
      <c r="S137" s="2" cm="1">
        <f t="array" ref="S13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37" s="2" t="str">
        <f>IF(Table1[[#This Row],[New_DoJ]] &gt;= EDATE( MAX(Table1[New_DoJ]), -24), "Yes", "No")</f>
        <v>No</v>
      </c>
    </row>
    <row r="138" spans="1:20" x14ac:dyDescent="0.3">
      <c r="A138" s="4">
        <v>465253</v>
      </c>
      <c r="B138" s="5" t="s">
        <v>407</v>
      </c>
      <c r="C138" s="5" t="s">
        <v>408</v>
      </c>
      <c r="D138" s="5" t="s">
        <v>409</v>
      </c>
      <c r="E138" s="5" t="s">
        <v>33</v>
      </c>
      <c r="F138" s="15">
        <v>33077</v>
      </c>
      <c r="G138" s="5">
        <v>5</v>
      </c>
      <c r="H138" s="5" t="s">
        <v>34</v>
      </c>
      <c r="I138" s="5">
        <v>0</v>
      </c>
      <c r="J138" s="5" t="s">
        <v>24</v>
      </c>
      <c r="K138" s="12">
        <v>43653</v>
      </c>
      <c r="L138" s="5" t="s">
        <v>25</v>
      </c>
      <c r="M138" s="6" t="s">
        <v>20</v>
      </c>
      <c r="N138" s="15">
        <v>21038</v>
      </c>
      <c r="O138" s="15">
        <v>33077</v>
      </c>
      <c r="P138" s="5"/>
      <c r="Q138" s="2" t="str">
        <f>INDEX(Table3[#All], MATCH(Table1[[#This Row],[Dept_Id]], Table3[[#All],[Dept_Id]], 0), 1)</f>
        <v>Production</v>
      </c>
      <c r="R138" s="22" t="str">
        <f>IF(Table1[[#This Row],[Left?]] = 1, (Table1[[#This Row],[New_Last_Date]]-Table1[[#This Row],[New_DoJ]])/365.25, "")</f>
        <v/>
      </c>
      <c r="S138" s="2" cm="1">
        <f t="array" ref="S13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38" s="2" t="str">
        <f>IF(Table1[[#This Row],[New_DoJ]] &gt;= EDATE( MAX(Table1[New_DoJ]), -24), "Yes", "No")</f>
        <v>No</v>
      </c>
    </row>
    <row r="139" spans="1:20" x14ac:dyDescent="0.3">
      <c r="A139" s="4">
        <v>10083</v>
      </c>
      <c r="B139" s="5" t="s">
        <v>410</v>
      </c>
      <c r="C139" s="5" t="s">
        <v>411</v>
      </c>
      <c r="D139" s="5" t="s">
        <v>412</v>
      </c>
      <c r="E139" s="5" t="s">
        <v>16</v>
      </c>
      <c r="F139" s="15">
        <v>31867</v>
      </c>
      <c r="G139" s="5">
        <v>5</v>
      </c>
      <c r="H139" s="5" t="s">
        <v>17</v>
      </c>
      <c r="I139" s="5">
        <v>0</v>
      </c>
      <c r="J139" s="5" t="s">
        <v>24</v>
      </c>
      <c r="K139" s="12">
        <v>40000</v>
      </c>
      <c r="L139" s="5" t="s">
        <v>25</v>
      </c>
      <c r="M139" s="6" t="s">
        <v>20</v>
      </c>
      <c r="N139" s="15">
        <v>21754</v>
      </c>
      <c r="O139" s="15">
        <v>31867</v>
      </c>
      <c r="P139" s="5"/>
      <c r="Q139" s="2" t="str">
        <f>INDEX(Table3[#All], MATCH(Table1[[#This Row],[Dept_Id]], Table3[[#All],[Dept_Id]], 0), 1)</f>
        <v>Production</v>
      </c>
      <c r="R139" s="22" t="str">
        <f>IF(Table1[[#This Row],[Left?]] = 1, (Table1[[#This Row],[New_Last_Date]]-Table1[[#This Row],[New_DoJ]])/365.25, "")</f>
        <v/>
      </c>
      <c r="S139" s="2" cm="1">
        <f t="array" ref="S13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39" s="2" t="str">
        <f>IF(Table1[[#This Row],[New_DoJ]] &gt;= EDATE( MAX(Table1[New_DoJ]), -24), "Yes", "No")</f>
        <v>No</v>
      </c>
    </row>
    <row r="140" spans="1:20" x14ac:dyDescent="0.3">
      <c r="A140" s="4">
        <v>10084</v>
      </c>
      <c r="B140" s="5" t="s">
        <v>413</v>
      </c>
      <c r="C140" s="5" t="s">
        <v>414</v>
      </c>
      <c r="D140" s="5" t="s">
        <v>58</v>
      </c>
      <c r="E140" s="5" t="s">
        <v>16</v>
      </c>
      <c r="F140" s="15">
        <v>35048</v>
      </c>
      <c r="G140" s="5">
        <v>7</v>
      </c>
      <c r="H140" s="5" t="s">
        <v>29</v>
      </c>
      <c r="I140" s="5">
        <v>0</v>
      </c>
      <c r="J140" s="5" t="s">
        <v>24</v>
      </c>
      <c r="K140" s="12">
        <v>69811</v>
      </c>
      <c r="L140" s="5" t="s">
        <v>25</v>
      </c>
      <c r="M140" s="6" t="s">
        <v>20</v>
      </c>
      <c r="N140" s="15">
        <v>22061</v>
      </c>
      <c r="O140" s="15">
        <v>35048</v>
      </c>
      <c r="P140" s="5"/>
      <c r="Q140" s="2" t="str">
        <f>INDEX(Table3[#All], MATCH(Table1[[#This Row],[Dept_Id]], Table3[[#All],[Dept_Id]], 0), 1)</f>
        <v>Production</v>
      </c>
      <c r="R140" s="22" t="str">
        <f>IF(Table1[[#This Row],[Left?]] = 1, (Table1[[#This Row],[New_Last_Date]]-Table1[[#This Row],[New_DoJ]])/365.25, "")</f>
        <v/>
      </c>
      <c r="S140" s="2" cm="1">
        <f t="array" ref="S14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40" s="2" t="str">
        <f>IF(Table1[[#This Row],[New_DoJ]] &gt;= EDATE( MAX(Table1[New_DoJ]), -24), "Yes", "No")</f>
        <v>No</v>
      </c>
    </row>
    <row r="141" spans="1:20" x14ac:dyDescent="0.3">
      <c r="A141" s="4">
        <v>444985</v>
      </c>
      <c r="B141" s="5" t="s">
        <v>415</v>
      </c>
      <c r="C141" s="5" t="s">
        <v>416</v>
      </c>
      <c r="D141" s="5" t="s">
        <v>417</v>
      </c>
      <c r="E141" s="5" t="s">
        <v>33</v>
      </c>
      <c r="F141" s="15">
        <v>32949</v>
      </c>
      <c r="G141" s="5">
        <v>2</v>
      </c>
      <c r="H141" s="5" t="s">
        <v>34</v>
      </c>
      <c r="I141" s="5">
        <v>0</v>
      </c>
      <c r="J141" s="5" t="s">
        <v>24</v>
      </c>
      <c r="K141" s="12">
        <v>71042</v>
      </c>
      <c r="L141" s="5" t="s">
        <v>38</v>
      </c>
      <c r="M141" s="6" t="s">
        <v>39</v>
      </c>
      <c r="N141" s="15">
        <v>20474</v>
      </c>
      <c r="O141" s="15">
        <v>32949</v>
      </c>
      <c r="P141" s="5"/>
      <c r="Q141" s="2" t="str">
        <f>INDEX(Table3[#All], MATCH(Table1[[#This Row],[Dept_Id]], Table3[[#All],[Dept_Id]], 0), 1)</f>
        <v>Sales</v>
      </c>
      <c r="R141" s="22" t="str">
        <f>IF(Table1[[#This Row],[Left?]] = 1, (Table1[[#This Row],[New_Last_Date]]-Table1[[#This Row],[New_DoJ]])/365.25, "")</f>
        <v/>
      </c>
      <c r="S141" s="2" cm="1">
        <f t="array" ref="S14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41" s="2" t="str">
        <f>IF(Table1[[#This Row],[New_DoJ]] &gt;= EDATE( MAX(Table1[New_DoJ]), -24), "Yes", "No")</f>
        <v>No</v>
      </c>
    </row>
    <row r="142" spans="1:20" x14ac:dyDescent="0.3">
      <c r="A142" s="4">
        <v>10085</v>
      </c>
      <c r="B142" s="5" t="s">
        <v>418</v>
      </c>
      <c r="C142" s="5" t="s">
        <v>419</v>
      </c>
      <c r="D142" s="5" t="s">
        <v>420</v>
      </c>
      <c r="E142" s="5" t="s">
        <v>16</v>
      </c>
      <c r="F142" s="15">
        <v>34433</v>
      </c>
      <c r="G142" s="5">
        <v>4</v>
      </c>
      <c r="H142" s="5" t="s">
        <v>29</v>
      </c>
      <c r="I142" s="5">
        <v>0</v>
      </c>
      <c r="J142" s="5" t="s">
        <v>24</v>
      </c>
      <c r="K142" s="12">
        <v>40000</v>
      </c>
      <c r="L142" s="5" t="s">
        <v>25</v>
      </c>
      <c r="M142" s="6" t="s">
        <v>20</v>
      </c>
      <c r="N142" s="15">
        <v>22957</v>
      </c>
      <c r="O142" s="15">
        <v>34433</v>
      </c>
      <c r="P142" s="5"/>
      <c r="Q142" s="2" t="str">
        <f>INDEX(Table3[#All], MATCH(Table1[[#This Row],[Dept_Id]], Table3[[#All],[Dept_Id]], 0), 1)</f>
        <v>Production</v>
      </c>
      <c r="R142" s="22" t="str">
        <f>IF(Table1[[#This Row],[Left?]] = 1, (Table1[[#This Row],[New_Last_Date]]-Table1[[#This Row],[New_DoJ]])/365.25, "")</f>
        <v/>
      </c>
      <c r="S142" s="2" cm="1">
        <f t="array" ref="S14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42" s="2" t="str">
        <f>IF(Table1[[#This Row],[New_DoJ]] &gt;= EDATE( MAX(Table1[New_DoJ]), -24), "Yes", "No")</f>
        <v>No</v>
      </c>
    </row>
    <row r="143" spans="1:20" x14ac:dyDescent="0.3">
      <c r="A143" s="4">
        <v>10086</v>
      </c>
      <c r="B143" s="5" t="s">
        <v>421</v>
      </c>
      <c r="C143" s="5" t="s">
        <v>422</v>
      </c>
      <c r="D143" s="5" t="s">
        <v>423</v>
      </c>
      <c r="E143" s="5" t="s">
        <v>16</v>
      </c>
      <c r="F143" s="15">
        <v>32920</v>
      </c>
      <c r="G143" s="5">
        <v>1</v>
      </c>
      <c r="H143" s="5" t="s">
        <v>34</v>
      </c>
      <c r="I143" s="5">
        <v>0</v>
      </c>
      <c r="J143" s="5" t="s">
        <v>24</v>
      </c>
      <c r="K143" s="12">
        <v>81613</v>
      </c>
      <c r="L143" s="5" t="s">
        <v>43</v>
      </c>
      <c r="M143" s="6" t="s">
        <v>39</v>
      </c>
      <c r="N143" s="15">
        <v>22969</v>
      </c>
      <c r="O143" s="15">
        <v>32920</v>
      </c>
      <c r="P143" s="5"/>
      <c r="Q143" s="2" t="str">
        <f>INDEX(Table3[#All], MATCH(Table1[[#This Row],[Dept_Id]], Table3[[#All],[Dept_Id]], 0), 1)</f>
        <v>Human Resources</v>
      </c>
      <c r="R143" s="22" t="str">
        <f>IF(Table1[[#This Row],[Left?]] = 1, (Table1[[#This Row],[New_Last_Date]]-Table1[[#This Row],[New_DoJ]])/365.25, "")</f>
        <v/>
      </c>
      <c r="S143" s="2" cm="1">
        <f t="array" ref="S14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43" s="2" t="str">
        <f>IF(Table1[[#This Row],[New_DoJ]] &gt;= EDATE( MAX(Table1[New_DoJ]), -24), "Yes", "No")</f>
        <v>No</v>
      </c>
    </row>
    <row r="144" spans="1:20" x14ac:dyDescent="0.3">
      <c r="A144" s="4">
        <v>299898</v>
      </c>
      <c r="B144" s="5" t="s">
        <v>424</v>
      </c>
      <c r="C144" s="5" t="s">
        <v>425</v>
      </c>
      <c r="D144" s="5" t="s">
        <v>426</v>
      </c>
      <c r="E144" s="5" t="s">
        <v>16</v>
      </c>
      <c r="F144" s="15">
        <v>32488</v>
      </c>
      <c r="G144" s="5">
        <v>8</v>
      </c>
      <c r="H144" s="5" t="s">
        <v>29</v>
      </c>
      <c r="I144" s="5">
        <v>0</v>
      </c>
      <c r="J144" s="5" t="s">
        <v>24</v>
      </c>
      <c r="K144" s="12">
        <v>63315</v>
      </c>
      <c r="L144" s="5" t="s">
        <v>105</v>
      </c>
      <c r="M144" s="6" t="s">
        <v>39</v>
      </c>
      <c r="N144" s="15">
        <v>23422</v>
      </c>
      <c r="O144" s="15">
        <v>32488</v>
      </c>
      <c r="P144" s="5"/>
      <c r="Q144" s="2" t="str">
        <f>INDEX(Table3[#All], MATCH(Table1[[#This Row],[Dept_Id]], Table3[[#All],[Dept_Id]], 0), 1)</f>
        <v>Marketing</v>
      </c>
      <c r="R144" s="22" t="str">
        <f>IF(Table1[[#This Row],[Left?]] = 1, (Table1[[#This Row],[New_Last_Date]]-Table1[[#This Row],[New_DoJ]])/365.25, "")</f>
        <v/>
      </c>
      <c r="S144" s="2" cm="1">
        <f t="array" ref="S14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44" s="2" t="str">
        <f>IF(Table1[[#This Row],[New_DoJ]] &gt;= EDATE( MAX(Table1[New_DoJ]), -24), "Yes", "No")</f>
        <v>No</v>
      </c>
    </row>
    <row r="145" spans="1:20" x14ac:dyDescent="0.3">
      <c r="A145" s="4">
        <v>10087</v>
      </c>
      <c r="B145" s="5" t="s">
        <v>410</v>
      </c>
      <c r="C145" s="5" t="s">
        <v>427</v>
      </c>
      <c r="D145" s="5" t="s">
        <v>428</v>
      </c>
      <c r="E145" s="5" t="s">
        <v>33</v>
      </c>
      <c r="F145" s="15">
        <v>31663</v>
      </c>
      <c r="G145" s="5">
        <v>9</v>
      </c>
      <c r="H145" s="5" t="s">
        <v>29</v>
      </c>
      <c r="I145" s="5">
        <v>0</v>
      </c>
      <c r="J145" s="5" t="s">
        <v>24</v>
      </c>
      <c r="K145" s="12">
        <v>96750</v>
      </c>
      <c r="L145" s="5" t="s">
        <v>38</v>
      </c>
      <c r="M145" s="6" t="s">
        <v>39</v>
      </c>
      <c r="N145" s="15">
        <v>21754</v>
      </c>
      <c r="O145" s="15">
        <v>31663</v>
      </c>
      <c r="P145" s="5"/>
      <c r="Q145" s="2" t="str">
        <f>INDEX(Table3[#All], MATCH(Table1[[#This Row],[Dept_Id]], Table3[[#All],[Dept_Id]], 0), 1)</f>
        <v>Sales</v>
      </c>
      <c r="R145" s="22" t="str">
        <f>IF(Table1[[#This Row],[Left?]] = 1, (Table1[[#This Row],[New_Last_Date]]-Table1[[#This Row],[New_DoJ]])/365.25, "")</f>
        <v/>
      </c>
      <c r="S145" s="2" cm="1">
        <f t="array" ref="S14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45" s="2" t="str">
        <f>IF(Table1[[#This Row],[New_DoJ]] &gt;= EDATE( MAX(Table1[New_DoJ]), -24), "Yes", "No")</f>
        <v>No</v>
      </c>
    </row>
    <row r="146" spans="1:20" x14ac:dyDescent="0.3">
      <c r="A146" s="4">
        <v>10088</v>
      </c>
      <c r="B146" s="5" t="s">
        <v>429</v>
      </c>
      <c r="C146" s="5" t="s">
        <v>430</v>
      </c>
      <c r="D146" s="5" t="s">
        <v>431</v>
      </c>
      <c r="E146" s="5" t="s">
        <v>33</v>
      </c>
      <c r="F146" s="15">
        <v>32388</v>
      </c>
      <c r="G146" s="5">
        <v>9</v>
      </c>
      <c r="H146" s="5" t="s">
        <v>29</v>
      </c>
      <c r="I146" s="5">
        <v>1</v>
      </c>
      <c r="J146" s="5" t="s">
        <v>432</v>
      </c>
      <c r="K146" s="12">
        <v>65957</v>
      </c>
      <c r="L146" s="5" t="s">
        <v>38</v>
      </c>
      <c r="M146" s="6" t="s">
        <v>39</v>
      </c>
      <c r="N146" s="15">
        <v>19780</v>
      </c>
      <c r="O146" s="15">
        <v>32388</v>
      </c>
      <c r="P146" s="15">
        <v>35964</v>
      </c>
      <c r="Q146" s="2" t="str">
        <f>INDEX(Table3[#All], MATCH(Table1[[#This Row],[Dept_Id]], Table3[[#All],[Dept_Id]], 0), 1)</f>
        <v>Sales</v>
      </c>
      <c r="R146" s="22">
        <f>IF(Table1[[#This Row],[Left?]] = 1, (Table1[[#This Row],[New_Last_Date]]-Table1[[#This Row],[New_DoJ]])/365.25, "")</f>
        <v>9.7905544147843937</v>
      </c>
      <c r="S146" s="2" cm="1">
        <f t="array" ref="S14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46" s="2" t="str">
        <f>IF(Table1[[#This Row],[New_DoJ]] &gt;= EDATE( MAX(Table1[New_DoJ]), -24), "Yes", "No")</f>
        <v>No</v>
      </c>
    </row>
    <row r="147" spans="1:20" x14ac:dyDescent="0.3">
      <c r="A147" s="4">
        <v>10088</v>
      </c>
      <c r="B147" s="5" t="s">
        <v>429</v>
      </c>
      <c r="C147" s="5" t="s">
        <v>430</v>
      </c>
      <c r="D147" s="5" t="s">
        <v>431</v>
      </c>
      <c r="E147" s="5" t="s">
        <v>33</v>
      </c>
      <c r="F147" s="15">
        <v>32388</v>
      </c>
      <c r="G147" s="5">
        <v>9</v>
      </c>
      <c r="H147" s="5" t="s">
        <v>29</v>
      </c>
      <c r="I147" s="5">
        <v>1</v>
      </c>
      <c r="J147" s="5" t="s">
        <v>432</v>
      </c>
      <c r="K147" s="12">
        <v>65957</v>
      </c>
      <c r="L147" s="5" t="s">
        <v>77</v>
      </c>
      <c r="M147" s="6" t="s">
        <v>39</v>
      </c>
      <c r="N147" s="15">
        <v>19780</v>
      </c>
      <c r="O147" s="15">
        <v>32388</v>
      </c>
      <c r="P147" s="15">
        <v>35964</v>
      </c>
      <c r="Q147" s="2" t="str">
        <f>INDEX(Table3[#All], MATCH(Table1[[#This Row],[Dept_Id]], Table3[[#All],[Dept_Id]], 0), 1)</f>
        <v>Customer Service</v>
      </c>
      <c r="R147" s="22">
        <f>IF(Table1[[#This Row],[Left?]] = 1, (Table1[[#This Row],[New_Last_Date]]-Table1[[#This Row],[New_DoJ]])/365.25, "")</f>
        <v>9.7905544147843937</v>
      </c>
      <c r="S147" s="2" cm="1">
        <f t="array" ref="S14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47" s="2" t="str">
        <f>IF(Table1[[#This Row],[New_DoJ]] &gt;= EDATE( MAX(Table1[New_DoJ]), -24), "Yes", "No")</f>
        <v>No</v>
      </c>
    </row>
    <row r="148" spans="1:20" x14ac:dyDescent="0.3">
      <c r="A148" s="4">
        <v>10089</v>
      </c>
      <c r="B148" s="5" t="s">
        <v>433</v>
      </c>
      <c r="C148" s="5" t="s">
        <v>434</v>
      </c>
      <c r="D148" s="5" t="s">
        <v>435</v>
      </c>
      <c r="E148" s="5" t="s">
        <v>33</v>
      </c>
      <c r="F148" s="15">
        <v>31636</v>
      </c>
      <c r="G148" s="5">
        <v>4</v>
      </c>
      <c r="H148" s="5" t="s">
        <v>17</v>
      </c>
      <c r="I148" s="5">
        <v>0</v>
      </c>
      <c r="J148" s="5" t="s">
        <v>24</v>
      </c>
      <c r="K148" s="12">
        <v>56469</v>
      </c>
      <c r="L148" s="5" t="s">
        <v>38</v>
      </c>
      <c r="M148" s="6" t="s">
        <v>39</v>
      </c>
      <c r="N148" s="15">
        <v>23091</v>
      </c>
      <c r="O148" s="15">
        <v>31636</v>
      </c>
      <c r="P148" s="5"/>
      <c r="Q148" s="2" t="str">
        <f>INDEX(Table3[#All], MATCH(Table1[[#This Row],[Dept_Id]], Table3[[#All],[Dept_Id]], 0), 1)</f>
        <v>Sales</v>
      </c>
      <c r="R148" s="22" t="str">
        <f>IF(Table1[[#This Row],[Left?]] = 1, (Table1[[#This Row],[New_Last_Date]]-Table1[[#This Row],[New_DoJ]])/365.25, "")</f>
        <v/>
      </c>
      <c r="S148" s="2" cm="1">
        <f t="array" ref="S14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48" s="2" t="str">
        <f>IF(Table1[[#This Row],[New_DoJ]] &gt;= EDATE( MAX(Table1[New_DoJ]), -24), "Yes", "No")</f>
        <v>No</v>
      </c>
    </row>
    <row r="149" spans="1:20" x14ac:dyDescent="0.3">
      <c r="A149" s="4">
        <v>425023</v>
      </c>
      <c r="B149" s="5" t="s">
        <v>436</v>
      </c>
      <c r="C149" s="5" t="s">
        <v>437</v>
      </c>
      <c r="D149" s="5" t="s">
        <v>438</v>
      </c>
      <c r="E149" s="5" t="s">
        <v>16</v>
      </c>
      <c r="F149" s="15">
        <v>33195</v>
      </c>
      <c r="G149" s="5">
        <v>8</v>
      </c>
      <c r="H149" s="5" t="s">
        <v>17</v>
      </c>
      <c r="I149" s="5">
        <v>0</v>
      </c>
      <c r="J149" s="5" t="s">
        <v>24</v>
      </c>
      <c r="K149" s="12">
        <v>45682</v>
      </c>
      <c r="L149" s="5" t="s">
        <v>19</v>
      </c>
      <c r="M149" s="6" t="s">
        <v>20</v>
      </c>
      <c r="N149" s="15">
        <v>19575</v>
      </c>
      <c r="O149" s="15">
        <v>33195</v>
      </c>
      <c r="P149" s="5"/>
      <c r="Q149" s="2" t="str">
        <f>INDEX(Table3[#All], MATCH(Table1[[#This Row],[Dept_Id]], Table3[[#All],[Dept_Id]], 0), 1)</f>
        <v>Development</v>
      </c>
      <c r="R149" s="22" t="str">
        <f>IF(Table1[[#This Row],[Left?]] = 1, (Table1[[#This Row],[New_Last_Date]]-Table1[[#This Row],[New_DoJ]])/365.25, "")</f>
        <v/>
      </c>
      <c r="S149" s="2" cm="1">
        <f t="array" ref="S14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49" s="2" t="str">
        <f>IF(Table1[[#This Row],[New_DoJ]] &gt;= EDATE( MAX(Table1[New_DoJ]), -24), "Yes", "No")</f>
        <v>No</v>
      </c>
    </row>
    <row r="150" spans="1:20" x14ac:dyDescent="0.3">
      <c r="A150" s="4">
        <v>10090</v>
      </c>
      <c r="B150" s="5" t="s">
        <v>439</v>
      </c>
      <c r="C150" s="5" t="s">
        <v>440</v>
      </c>
      <c r="D150" s="5" t="s">
        <v>441</v>
      </c>
      <c r="E150" s="5" t="s">
        <v>16</v>
      </c>
      <c r="F150" s="15">
        <v>31485</v>
      </c>
      <c r="G150" s="5">
        <v>7</v>
      </c>
      <c r="H150" s="5" t="s">
        <v>17</v>
      </c>
      <c r="I150" s="5">
        <v>0</v>
      </c>
      <c r="J150" s="5" t="s">
        <v>24</v>
      </c>
      <c r="K150" s="12">
        <v>44978</v>
      </c>
      <c r="L150" s="5" t="s">
        <v>19</v>
      </c>
      <c r="M150" s="6" t="s">
        <v>20</v>
      </c>
      <c r="N150" s="15">
        <v>22431</v>
      </c>
      <c r="O150" s="15">
        <v>31485</v>
      </c>
      <c r="P150" s="5"/>
      <c r="Q150" s="2" t="str">
        <f>INDEX(Table3[#All], MATCH(Table1[[#This Row],[Dept_Id]], Table3[[#All],[Dept_Id]], 0), 1)</f>
        <v>Development</v>
      </c>
      <c r="R150" s="22" t="str">
        <f>IF(Table1[[#This Row],[Left?]] = 1, (Table1[[#This Row],[New_Last_Date]]-Table1[[#This Row],[New_DoJ]])/365.25, "")</f>
        <v/>
      </c>
      <c r="S150" s="2" cm="1">
        <f t="array" ref="S15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50" s="2" t="str">
        <f>IF(Table1[[#This Row],[New_DoJ]] &gt;= EDATE( MAX(Table1[New_DoJ]), -24), "Yes", "No")</f>
        <v>No</v>
      </c>
    </row>
    <row r="151" spans="1:20" x14ac:dyDescent="0.3">
      <c r="A151" s="4">
        <v>10091</v>
      </c>
      <c r="B151" s="5" t="s">
        <v>442</v>
      </c>
      <c r="C151" s="5" t="s">
        <v>443</v>
      </c>
      <c r="D151" s="5" t="s">
        <v>444</v>
      </c>
      <c r="E151" s="5" t="s">
        <v>16</v>
      </c>
      <c r="F151" s="15">
        <v>33926</v>
      </c>
      <c r="G151" s="5">
        <v>5</v>
      </c>
      <c r="H151" s="5" t="s">
        <v>29</v>
      </c>
      <c r="I151" s="5">
        <v>0</v>
      </c>
      <c r="J151" s="5" t="s">
        <v>24</v>
      </c>
      <c r="K151" s="12">
        <v>40000</v>
      </c>
      <c r="L151" s="5" t="s">
        <v>19</v>
      </c>
      <c r="M151" s="6" t="s">
        <v>20</v>
      </c>
      <c r="N151" s="15">
        <v>20366</v>
      </c>
      <c r="O151" s="15">
        <v>33926</v>
      </c>
      <c r="P151" s="5"/>
      <c r="Q151" s="2" t="str">
        <f>INDEX(Table3[#All], MATCH(Table1[[#This Row],[Dept_Id]], Table3[[#All],[Dept_Id]], 0), 1)</f>
        <v>Development</v>
      </c>
      <c r="R151" s="22" t="str">
        <f>IF(Table1[[#This Row],[Left?]] = 1, (Table1[[#This Row],[New_Last_Date]]-Table1[[#This Row],[New_DoJ]])/365.25, "")</f>
        <v/>
      </c>
      <c r="S151" s="2" cm="1">
        <f t="array" ref="S15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51" s="2" t="str">
        <f>IF(Table1[[#This Row],[New_DoJ]] &gt;= EDATE( MAX(Table1[New_DoJ]), -24), "Yes", "No")</f>
        <v>No</v>
      </c>
    </row>
    <row r="152" spans="1:20" x14ac:dyDescent="0.3">
      <c r="A152" s="4">
        <v>411614</v>
      </c>
      <c r="B152" s="5" t="s">
        <v>445</v>
      </c>
      <c r="C152" s="5" t="s">
        <v>446</v>
      </c>
      <c r="D152" s="5" t="s">
        <v>447</v>
      </c>
      <c r="E152" s="5" t="s">
        <v>16</v>
      </c>
      <c r="F152" s="15">
        <v>33649</v>
      </c>
      <c r="G152" s="5">
        <v>1</v>
      </c>
      <c r="H152" s="5" t="s">
        <v>34</v>
      </c>
      <c r="I152" s="5">
        <v>0</v>
      </c>
      <c r="J152" s="5" t="s">
        <v>24</v>
      </c>
      <c r="K152" s="12">
        <v>54770</v>
      </c>
      <c r="L152" s="5" t="s">
        <v>19</v>
      </c>
      <c r="M152" s="6" t="s">
        <v>20</v>
      </c>
      <c r="N152" s="15">
        <v>21273</v>
      </c>
      <c r="O152" s="15">
        <v>33649</v>
      </c>
      <c r="P152" s="5"/>
      <c r="Q152" s="2" t="str">
        <f>INDEX(Table3[#All], MATCH(Table1[[#This Row],[Dept_Id]], Table3[[#All],[Dept_Id]], 0), 1)</f>
        <v>Development</v>
      </c>
      <c r="R152" s="22" t="str">
        <f>IF(Table1[[#This Row],[Left?]] = 1, (Table1[[#This Row],[New_Last_Date]]-Table1[[#This Row],[New_DoJ]])/365.25, "")</f>
        <v/>
      </c>
      <c r="S152" s="2" cm="1">
        <f t="array" ref="S15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52" s="2" t="str">
        <f>IF(Table1[[#This Row],[New_DoJ]] &gt;= EDATE( MAX(Table1[New_DoJ]), -24), "Yes", "No")</f>
        <v>No</v>
      </c>
    </row>
    <row r="153" spans="1:20" x14ac:dyDescent="0.3">
      <c r="A153" s="4">
        <v>10092</v>
      </c>
      <c r="B153" s="5" t="s">
        <v>448</v>
      </c>
      <c r="C153" s="5" t="s">
        <v>449</v>
      </c>
      <c r="D153" s="5" t="s">
        <v>450</v>
      </c>
      <c r="E153" s="5" t="s">
        <v>33</v>
      </c>
      <c r="F153" s="15">
        <v>32773</v>
      </c>
      <c r="G153" s="5">
        <v>10</v>
      </c>
      <c r="H153" s="5" t="s">
        <v>17</v>
      </c>
      <c r="I153" s="5">
        <v>0</v>
      </c>
      <c r="J153" s="5" t="s">
        <v>24</v>
      </c>
      <c r="K153" s="12">
        <v>53977</v>
      </c>
      <c r="L153" s="5" t="s">
        <v>19</v>
      </c>
      <c r="M153" s="6" t="s">
        <v>50</v>
      </c>
      <c r="N153" s="15">
        <v>23668</v>
      </c>
      <c r="O153" s="15">
        <v>32773</v>
      </c>
      <c r="P153" s="5"/>
      <c r="Q153" s="2" t="str">
        <f>INDEX(Table3[#All], MATCH(Table1[[#This Row],[Dept_Id]], Table3[[#All],[Dept_Id]], 0), 1)</f>
        <v>Development</v>
      </c>
      <c r="R153" s="22" t="str">
        <f>IF(Table1[[#This Row],[Left?]] = 1, (Table1[[#This Row],[New_Last_Date]]-Table1[[#This Row],[New_DoJ]])/365.25, "")</f>
        <v/>
      </c>
      <c r="S153" s="2" cm="1">
        <f t="array" ref="S15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53" s="2" t="str">
        <f>IF(Table1[[#This Row],[New_DoJ]] &gt;= EDATE( MAX(Table1[New_DoJ]), -24), "Yes", "No")</f>
        <v>No</v>
      </c>
    </row>
    <row r="154" spans="1:20" x14ac:dyDescent="0.3">
      <c r="A154" s="4">
        <v>10093</v>
      </c>
      <c r="B154" s="5" t="s">
        <v>451</v>
      </c>
      <c r="C154" s="5" t="s">
        <v>452</v>
      </c>
      <c r="D154" s="5" t="s">
        <v>453</v>
      </c>
      <c r="E154" s="5" t="s">
        <v>16</v>
      </c>
      <c r="F154" s="15">
        <v>35374</v>
      </c>
      <c r="G154" s="5">
        <v>8</v>
      </c>
      <c r="H154" s="5" t="s">
        <v>34</v>
      </c>
      <c r="I154" s="5">
        <v>0</v>
      </c>
      <c r="J154" s="5" t="s">
        <v>24</v>
      </c>
      <c r="K154" s="12">
        <v>67856</v>
      </c>
      <c r="L154" s="5" t="s">
        <v>38</v>
      </c>
      <c r="M154" s="6" t="s">
        <v>39</v>
      </c>
      <c r="N154" s="15">
        <v>23539</v>
      </c>
      <c r="O154" s="15">
        <v>35374</v>
      </c>
      <c r="P154" s="5"/>
      <c r="Q154" s="2" t="str">
        <f>INDEX(Table3[#All], MATCH(Table1[[#This Row],[Dept_Id]], Table3[[#All],[Dept_Id]], 0), 1)</f>
        <v>Sales</v>
      </c>
      <c r="R154" s="22" t="str">
        <f>IF(Table1[[#This Row],[Left?]] = 1, (Table1[[#This Row],[New_Last_Date]]-Table1[[#This Row],[New_DoJ]])/365.25, "")</f>
        <v/>
      </c>
      <c r="S154" s="2" cm="1">
        <f t="array" ref="S15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54" s="2" t="str">
        <f>IF(Table1[[#This Row],[New_DoJ]] &gt;= EDATE( MAX(Table1[New_DoJ]), -24), "Yes", "No")</f>
        <v>No</v>
      </c>
    </row>
    <row r="155" spans="1:20" x14ac:dyDescent="0.3">
      <c r="A155" s="4">
        <v>425656</v>
      </c>
      <c r="B155" s="5" t="s">
        <v>454</v>
      </c>
      <c r="C155" s="5" t="s">
        <v>455</v>
      </c>
      <c r="D155" s="5" t="s">
        <v>456</v>
      </c>
      <c r="E155" s="5" t="s">
        <v>16</v>
      </c>
      <c r="F155" s="15">
        <v>31959</v>
      </c>
      <c r="G155" s="5">
        <v>4</v>
      </c>
      <c r="H155" s="5" t="s">
        <v>34</v>
      </c>
      <c r="I155" s="5">
        <v>0</v>
      </c>
      <c r="J155" s="5" t="s">
        <v>24</v>
      </c>
      <c r="K155" s="12">
        <v>40000</v>
      </c>
      <c r="L155" s="5" t="s">
        <v>55</v>
      </c>
      <c r="M155" s="6" t="s">
        <v>39</v>
      </c>
      <c r="N155" s="15">
        <v>23660</v>
      </c>
      <c r="O155" s="15">
        <v>31959</v>
      </c>
      <c r="P155" s="5"/>
      <c r="Q155" s="2" t="str">
        <f>INDEX(Table3[#All], MATCH(Table1[[#This Row],[Dept_Id]], Table3[[#All],[Dept_Id]], 0), 1)</f>
        <v>Research</v>
      </c>
      <c r="R155" s="22" t="str">
        <f>IF(Table1[[#This Row],[Left?]] = 1, (Table1[[#This Row],[New_Last_Date]]-Table1[[#This Row],[New_DoJ]])/365.25, "")</f>
        <v/>
      </c>
      <c r="S155" s="2" cm="1">
        <f t="array" ref="S15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55" s="2" t="str">
        <f>IF(Table1[[#This Row],[New_DoJ]] &gt;= EDATE( MAX(Table1[New_DoJ]), -24), "Yes", "No")</f>
        <v>No</v>
      </c>
    </row>
    <row r="156" spans="1:20" x14ac:dyDescent="0.3">
      <c r="A156" s="4">
        <v>10094</v>
      </c>
      <c r="B156" s="5" t="s">
        <v>457</v>
      </c>
      <c r="C156" s="5" t="s">
        <v>458</v>
      </c>
      <c r="D156" s="5" t="s">
        <v>459</v>
      </c>
      <c r="E156" s="5" t="s">
        <v>33</v>
      </c>
      <c r="F156" s="15">
        <v>31885</v>
      </c>
      <c r="G156" s="5">
        <v>10</v>
      </c>
      <c r="H156" s="5" t="s">
        <v>34</v>
      </c>
      <c r="I156" s="5">
        <v>0</v>
      </c>
      <c r="J156" s="5" t="s">
        <v>24</v>
      </c>
      <c r="K156" s="12">
        <v>58001</v>
      </c>
      <c r="L156" s="5" t="s">
        <v>55</v>
      </c>
      <c r="M156" s="6" t="s">
        <v>87</v>
      </c>
      <c r="N156" s="15">
        <v>20965</v>
      </c>
      <c r="O156" s="15">
        <v>31885</v>
      </c>
      <c r="P156" s="5"/>
      <c r="Q156" s="2" t="str">
        <f>INDEX(Table3[#All], MATCH(Table1[[#This Row],[Dept_Id]], Table3[[#All],[Dept_Id]], 0), 1)</f>
        <v>Research</v>
      </c>
      <c r="R156" s="22" t="str">
        <f>IF(Table1[[#This Row],[Left?]] = 1, (Table1[[#This Row],[New_Last_Date]]-Table1[[#This Row],[New_DoJ]])/365.25, "")</f>
        <v/>
      </c>
      <c r="S156" s="2" cm="1">
        <f t="array" ref="S15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56" s="2" t="str">
        <f>IF(Table1[[#This Row],[New_DoJ]] &gt;= EDATE( MAX(Table1[New_DoJ]), -24), "Yes", "No")</f>
        <v>No</v>
      </c>
    </row>
    <row r="157" spans="1:20" x14ac:dyDescent="0.3">
      <c r="A157" s="4">
        <v>10095</v>
      </c>
      <c r="B157" s="5" t="s">
        <v>460</v>
      </c>
      <c r="C157" s="5" t="s">
        <v>461</v>
      </c>
      <c r="D157" s="5" t="s">
        <v>462</v>
      </c>
      <c r="E157" s="5" t="s">
        <v>16</v>
      </c>
      <c r="F157" s="15">
        <v>31608</v>
      </c>
      <c r="G157" s="5">
        <v>8</v>
      </c>
      <c r="H157" s="5" t="s">
        <v>17</v>
      </c>
      <c r="I157" s="5">
        <v>0</v>
      </c>
      <c r="J157" s="5" t="s">
        <v>24</v>
      </c>
      <c r="K157" s="12">
        <v>63668</v>
      </c>
      <c r="L157" s="5" t="s">
        <v>38</v>
      </c>
      <c r="M157" s="6" t="s">
        <v>39</v>
      </c>
      <c r="N157" s="15">
        <v>23745</v>
      </c>
      <c r="O157" s="15">
        <v>31608</v>
      </c>
      <c r="P157" s="5"/>
      <c r="Q157" s="2" t="str">
        <f>INDEX(Table3[#All], MATCH(Table1[[#This Row],[Dept_Id]], Table3[[#All],[Dept_Id]], 0), 1)</f>
        <v>Sales</v>
      </c>
      <c r="R157" s="22" t="str">
        <f>IF(Table1[[#This Row],[Left?]] = 1, (Table1[[#This Row],[New_Last_Date]]-Table1[[#This Row],[New_DoJ]])/365.25, "")</f>
        <v/>
      </c>
      <c r="S157" s="2" cm="1">
        <f t="array" ref="S15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57" s="2" t="str">
        <f>IF(Table1[[#This Row],[New_DoJ]] &gt;= EDATE( MAX(Table1[New_DoJ]), -24), "Yes", "No")</f>
        <v>No</v>
      </c>
    </row>
    <row r="158" spans="1:20" x14ac:dyDescent="0.3">
      <c r="A158" s="4">
        <v>252000</v>
      </c>
      <c r="B158" s="5" t="s">
        <v>463</v>
      </c>
      <c r="C158" s="5" t="s">
        <v>464</v>
      </c>
      <c r="D158" s="5" t="s">
        <v>465</v>
      </c>
      <c r="E158" s="5" t="s">
        <v>33</v>
      </c>
      <c r="F158" s="15">
        <v>32569</v>
      </c>
      <c r="G158" s="5">
        <v>10</v>
      </c>
      <c r="H158" s="5" t="s">
        <v>34</v>
      </c>
      <c r="I158" s="5">
        <v>0</v>
      </c>
      <c r="J158" s="5" t="s">
        <v>24</v>
      </c>
      <c r="K158" s="12">
        <v>40000</v>
      </c>
      <c r="L158" s="5" t="s">
        <v>63</v>
      </c>
      <c r="M158" s="6" t="s">
        <v>59</v>
      </c>
      <c r="N158" s="15">
        <v>19331</v>
      </c>
      <c r="O158" s="15">
        <v>32569</v>
      </c>
      <c r="P158" s="5"/>
      <c r="Q158" s="2" t="str">
        <f>INDEX(Table3[#All], MATCH(Table1[[#This Row],[Dept_Id]], Table3[[#All],[Dept_Id]], 0), 1)</f>
        <v>Quality Management</v>
      </c>
      <c r="R158" s="22" t="str">
        <f>IF(Table1[[#This Row],[Left?]] = 1, (Table1[[#This Row],[New_Last_Date]]-Table1[[#This Row],[New_DoJ]])/365.25, "")</f>
        <v/>
      </c>
      <c r="S158" s="2" cm="1">
        <f t="array" ref="S15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58" s="2" t="str">
        <f>IF(Table1[[#This Row],[New_DoJ]] &gt;= EDATE( MAX(Table1[New_DoJ]), -24), "Yes", "No")</f>
        <v>No</v>
      </c>
    </row>
    <row r="159" spans="1:20" x14ac:dyDescent="0.3">
      <c r="A159" s="4">
        <v>10096</v>
      </c>
      <c r="B159" s="5" t="s">
        <v>466</v>
      </c>
      <c r="C159" s="5" t="s">
        <v>467</v>
      </c>
      <c r="D159" s="5" t="s">
        <v>468</v>
      </c>
      <c r="E159" s="5" t="s">
        <v>16</v>
      </c>
      <c r="F159" s="15">
        <v>32887</v>
      </c>
      <c r="G159" s="5">
        <v>1</v>
      </c>
      <c r="H159" s="5" t="s">
        <v>291</v>
      </c>
      <c r="I159" s="5">
        <v>0</v>
      </c>
      <c r="J159" s="5" t="s">
        <v>24</v>
      </c>
      <c r="K159" s="12">
        <v>61395</v>
      </c>
      <c r="L159" s="5" t="s">
        <v>25</v>
      </c>
      <c r="M159" s="6" t="s">
        <v>50</v>
      </c>
      <c r="N159" s="15">
        <v>19983</v>
      </c>
      <c r="O159" s="15">
        <v>32887</v>
      </c>
      <c r="P159" s="5"/>
      <c r="Q159" s="2" t="str">
        <f>INDEX(Table3[#All], MATCH(Table1[[#This Row],[Dept_Id]], Table3[[#All],[Dept_Id]], 0), 1)</f>
        <v>Production</v>
      </c>
      <c r="R159" s="22" t="str">
        <f>IF(Table1[[#This Row],[Left?]] = 1, (Table1[[#This Row],[New_Last_Date]]-Table1[[#This Row],[New_DoJ]])/365.25, "")</f>
        <v/>
      </c>
      <c r="S159" s="2" cm="1">
        <f t="array" ref="S15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5</v>
      </c>
      <c r="T159" s="2" t="str">
        <f>IF(Table1[[#This Row],[New_DoJ]] &gt;= EDATE( MAX(Table1[New_DoJ]), -24), "Yes", "No")</f>
        <v>No</v>
      </c>
    </row>
    <row r="160" spans="1:20" x14ac:dyDescent="0.3">
      <c r="A160" s="4">
        <v>10097</v>
      </c>
      <c r="B160" s="5" t="s">
        <v>469</v>
      </c>
      <c r="C160" s="5" t="s">
        <v>470</v>
      </c>
      <c r="D160" s="5" t="s">
        <v>471</v>
      </c>
      <c r="E160" s="5" t="s">
        <v>16</v>
      </c>
      <c r="F160" s="15">
        <v>33131</v>
      </c>
      <c r="G160" s="5">
        <v>2</v>
      </c>
      <c r="H160" s="5" t="s">
        <v>29</v>
      </c>
      <c r="I160" s="5">
        <v>0</v>
      </c>
      <c r="J160" s="5" t="s">
        <v>24</v>
      </c>
      <c r="K160" s="12">
        <v>44886</v>
      </c>
      <c r="L160" s="5" t="s">
        <v>55</v>
      </c>
      <c r="M160" s="6" t="s">
        <v>39</v>
      </c>
      <c r="N160" s="15">
        <v>19051</v>
      </c>
      <c r="O160" s="15">
        <v>33131</v>
      </c>
      <c r="P160" s="5"/>
      <c r="Q160" s="2" t="str">
        <f>INDEX(Table3[#All], MATCH(Table1[[#This Row],[Dept_Id]], Table3[[#All],[Dept_Id]], 0), 1)</f>
        <v>Research</v>
      </c>
      <c r="R160" s="22" t="str">
        <f>IF(Table1[[#This Row],[Left?]] = 1, (Table1[[#This Row],[New_Last_Date]]-Table1[[#This Row],[New_DoJ]])/365.25, "")</f>
        <v/>
      </c>
      <c r="S160" s="2" cm="1">
        <f t="array" ref="S16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60" s="2" t="str">
        <f>IF(Table1[[#This Row],[New_DoJ]] &gt;= EDATE( MAX(Table1[New_DoJ]), -24), "Yes", "No")</f>
        <v>No</v>
      </c>
    </row>
    <row r="161" spans="1:20" x14ac:dyDescent="0.3">
      <c r="A161" s="4">
        <v>10098</v>
      </c>
      <c r="B161" s="5" t="s">
        <v>472</v>
      </c>
      <c r="C161" s="5" t="s">
        <v>473</v>
      </c>
      <c r="D161" s="5" t="s">
        <v>474</v>
      </c>
      <c r="E161" s="5" t="s">
        <v>33</v>
      </c>
      <c r="F161" s="15">
        <v>31180</v>
      </c>
      <c r="G161" s="5">
        <v>4</v>
      </c>
      <c r="H161" s="5" t="s">
        <v>29</v>
      </c>
      <c r="I161" s="5">
        <v>0</v>
      </c>
      <c r="J161" s="5" t="s">
        <v>24</v>
      </c>
      <c r="K161" s="12">
        <v>40000</v>
      </c>
      <c r="L161" s="5" t="s">
        <v>25</v>
      </c>
      <c r="M161" s="6" t="s">
        <v>20</v>
      </c>
      <c r="N161" s="15">
        <v>22547</v>
      </c>
      <c r="O161" s="15">
        <v>31180</v>
      </c>
      <c r="P161" s="5"/>
      <c r="Q161" s="2" t="str">
        <f>INDEX(Table3[#All], MATCH(Table1[[#This Row],[Dept_Id]], Table3[[#All],[Dept_Id]], 0), 1)</f>
        <v>Production</v>
      </c>
      <c r="R161" s="22" t="str">
        <f>IF(Table1[[#This Row],[Left?]] = 1, (Table1[[#This Row],[New_Last_Date]]-Table1[[#This Row],[New_DoJ]])/365.25, "")</f>
        <v/>
      </c>
      <c r="S161" s="2" cm="1">
        <f t="array" ref="S16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61" s="2" t="str">
        <f>IF(Table1[[#This Row],[New_DoJ]] &gt;= EDATE( MAX(Table1[New_DoJ]), -24), "Yes", "No")</f>
        <v>No</v>
      </c>
    </row>
    <row r="162" spans="1:20" x14ac:dyDescent="0.3">
      <c r="A162" s="4">
        <v>10098</v>
      </c>
      <c r="B162" s="5" t="s">
        <v>472</v>
      </c>
      <c r="C162" s="5" t="s">
        <v>473</v>
      </c>
      <c r="D162" s="5" t="s">
        <v>474</v>
      </c>
      <c r="E162" s="5" t="s">
        <v>33</v>
      </c>
      <c r="F162" s="15">
        <v>31180</v>
      </c>
      <c r="G162" s="5">
        <v>4</v>
      </c>
      <c r="H162" s="5" t="s">
        <v>29</v>
      </c>
      <c r="I162" s="5">
        <v>0</v>
      </c>
      <c r="J162" s="5" t="s">
        <v>24</v>
      </c>
      <c r="K162" s="12">
        <v>40000</v>
      </c>
      <c r="L162" s="5" t="s">
        <v>77</v>
      </c>
      <c r="M162" s="6" t="s">
        <v>20</v>
      </c>
      <c r="N162" s="15">
        <v>22547</v>
      </c>
      <c r="O162" s="15">
        <v>31180</v>
      </c>
      <c r="P162" s="5"/>
      <c r="Q162" s="2" t="str">
        <f>INDEX(Table3[#All], MATCH(Table1[[#This Row],[Dept_Id]], Table3[[#All],[Dept_Id]], 0), 1)</f>
        <v>Customer Service</v>
      </c>
      <c r="R162" s="22" t="str">
        <f>IF(Table1[[#This Row],[Left?]] = 1, (Table1[[#This Row],[New_Last_Date]]-Table1[[#This Row],[New_DoJ]])/365.25, "")</f>
        <v/>
      </c>
      <c r="S162" s="2" cm="1">
        <f t="array" ref="S16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62" s="2" t="str">
        <f>IF(Table1[[#This Row],[New_DoJ]] &gt;= EDATE( MAX(Table1[New_DoJ]), -24), "Yes", "No")</f>
        <v>No</v>
      </c>
    </row>
    <row r="163" spans="1:20" x14ac:dyDescent="0.3">
      <c r="A163" s="4">
        <v>103676</v>
      </c>
      <c r="B163" s="5" t="s">
        <v>475</v>
      </c>
      <c r="C163" s="5" t="s">
        <v>476</v>
      </c>
      <c r="D163" s="5" t="s">
        <v>477</v>
      </c>
      <c r="E163" s="5" t="s">
        <v>33</v>
      </c>
      <c r="F163" s="15">
        <v>31995</v>
      </c>
      <c r="G163" s="5">
        <v>3</v>
      </c>
      <c r="H163" s="5" t="s">
        <v>34</v>
      </c>
      <c r="I163" s="5">
        <v>0</v>
      </c>
      <c r="J163" s="5" t="s">
        <v>24</v>
      </c>
      <c r="K163" s="12">
        <v>62128</v>
      </c>
      <c r="L163" s="5" t="s">
        <v>25</v>
      </c>
      <c r="M163" s="6" t="s">
        <v>20</v>
      </c>
      <c r="N163" s="15">
        <v>23713</v>
      </c>
      <c r="O163" s="15">
        <v>31995</v>
      </c>
      <c r="P163" s="5"/>
      <c r="Q163" s="2" t="str">
        <f>INDEX(Table3[#All], MATCH(Table1[[#This Row],[Dept_Id]], Table3[[#All],[Dept_Id]], 0), 1)</f>
        <v>Production</v>
      </c>
      <c r="R163" s="22" t="str">
        <f>IF(Table1[[#This Row],[Left?]] = 1, (Table1[[#This Row],[New_Last_Date]]-Table1[[#This Row],[New_DoJ]])/365.25, "")</f>
        <v/>
      </c>
      <c r="S163" s="2" cm="1">
        <f t="array" ref="S16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63" s="2" t="str">
        <f>IF(Table1[[#This Row],[New_DoJ]] &gt;= EDATE( MAX(Table1[New_DoJ]), -24), "Yes", "No")</f>
        <v>No</v>
      </c>
    </row>
    <row r="164" spans="1:20" x14ac:dyDescent="0.3">
      <c r="A164" s="4">
        <v>103676</v>
      </c>
      <c r="B164" s="5" t="s">
        <v>475</v>
      </c>
      <c r="C164" s="5" t="s">
        <v>476</v>
      </c>
      <c r="D164" s="5" t="s">
        <v>477</v>
      </c>
      <c r="E164" s="5" t="s">
        <v>33</v>
      </c>
      <c r="F164" s="15">
        <v>31995</v>
      </c>
      <c r="G164" s="5">
        <v>3</v>
      </c>
      <c r="H164" s="5" t="s">
        <v>34</v>
      </c>
      <c r="I164" s="5">
        <v>0</v>
      </c>
      <c r="J164" s="5" t="s">
        <v>24</v>
      </c>
      <c r="K164" s="12">
        <v>62128</v>
      </c>
      <c r="L164" s="5" t="s">
        <v>19</v>
      </c>
      <c r="M164" s="6" t="s">
        <v>20</v>
      </c>
      <c r="N164" s="15">
        <v>23713</v>
      </c>
      <c r="O164" s="15">
        <v>31995</v>
      </c>
      <c r="P164" s="5"/>
      <c r="Q164" s="2" t="str">
        <f>INDEX(Table3[#All], MATCH(Table1[[#This Row],[Dept_Id]], Table3[[#All],[Dept_Id]], 0), 1)</f>
        <v>Development</v>
      </c>
      <c r="R164" s="22" t="str">
        <f>IF(Table1[[#This Row],[Left?]] = 1, (Table1[[#This Row],[New_Last_Date]]-Table1[[#This Row],[New_DoJ]])/365.25, "")</f>
        <v/>
      </c>
      <c r="S164" s="2" cm="1">
        <f t="array" ref="S16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64" s="2" t="str">
        <f>IF(Table1[[#This Row],[New_DoJ]] &gt;= EDATE( MAX(Table1[New_DoJ]), -24), "Yes", "No")</f>
        <v>No</v>
      </c>
    </row>
    <row r="165" spans="1:20" x14ac:dyDescent="0.3">
      <c r="A165" s="4">
        <v>10099</v>
      </c>
      <c r="B165" s="5" t="s">
        <v>478</v>
      </c>
      <c r="C165" s="5" t="s">
        <v>479</v>
      </c>
      <c r="D165" s="5" t="s">
        <v>480</v>
      </c>
      <c r="E165" s="5" t="s">
        <v>33</v>
      </c>
      <c r="F165" s="15">
        <v>32434</v>
      </c>
      <c r="G165" s="5">
        <v>5</v>
      </c>
      <c r="H165" s="5" t="s">
        <v>17</v>
      </c>
      <c r="I165" s="5">
        <v>0</v>
      </c>
      <c r="J165" s="5" t="s">
        <v>24</v>
      </c>
      <c r="K165" s="12">
        <v>68781</v>
      </c>
      <c r="L165" s="5" t="s">
        <v>38</v>
      </c>
      <c r="M165" s="6" t="s">
        <v>39</v>
      </c>
      <c r="N165" s="15">
        <v>20600</v>
      </c>
      <c r="O165" s="15">
        <v>32434</v>
      </c>
      <c r="P165" s="5"/>
      <c r="Q165" s="2" t="str">
        <f>INDEX(Table3[#All], MATCH(Table1[[#This Row],[Dept_Id]], Table3[[#All],[Dept_Id]], 0), 1)</f>
        <v>Sales</v>
      </c>
      <c r="R165" s="22" t="str">
        <f>IF(Table1[[#This Row],[Left?]] = 1, (Table1[[#This Row],[New_Last_Date]]-Table1[[#This Row],[New_DoJ]])/365.25, "")</f>
        <v/>
      </c>
      <c r="S165" s="2" cm="1">
        <f t="array" ref="S16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65" s="2" t="str">
        <f>IF(Table1[[#This Row],[New_DoJ]] &gt;= EDATE( MAX(Table1[New_DoJ]), -24), "Yes", "No")</f>
        <v>No</v>
      </c>
    </row>
    <row r="166" spans="1:20" x14ac:dyDescent="0.3">
      <c r="A166" s="4">
        <v>10100</v>
      </c>
      <c r="B166" s="5" t="s">
        <v>481</v>
      </c>
      <c r="C166" s="5" t="s">
        <v>482</v>
      </c>
      <c r="D166" s="5" t="s">
        <v>483</v>
      </c>
      <c r="E166" s="5" t="s">
        <v>33</v>
      </c>
      <c r="F166" s="15">
        <v>32041</v>
      </c>
      <c r="G166" s="5">
        <v>6</v>
      </c>
      <c r="H166" s="5" t="s">
        <v>34</v>
      </c>
      <c r="I166" s="5">
        <v>0</v>
      </c>
      <c r="J166" s="5" t="s">
        <v>24</v>
      </c>
      <c r="K166" s="12">
        <v>54398</v>
      </c>
      <c r="L166" s="5" t="s">
        <v>43</v>
      </c>
      <c r="M166" s="6" t="s">
        <v>39</v>
      </c>
      <c r="N166" s="15">
        <v>19470</v>
      </c>
      <c r="O166" s="15">
        <v>32041</v>
      </c>
      <c r="P166" s="5"/>
      <c r="Q166" s="2" t="str">
        <f>INDEX(Table3[#All], MATCH(Table1[[#This Row],[Dept_Id]], Table3[[#All],[Dept_Id]], 0), 1)</f>
        <v>Human Resources</v>
      </c>
      <c r="R166" s="22" t="str">
        <f>IF(Table1[[#This Row],[Left?]] = 1, (Table1[[#This Row],[New_Last_Date]]-Table1[[#This Row],[New_DoJ]])/365.25, "")</f>
        <v/>
      </c>
      <c r="S166" s="2" cm="1">
        <f t="array" ref="S16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66" s="2" t="str">
        <f>IF(Table1[[#This Row],[New_DoJ]] &gt;= EDATE( MAX(Table1[New_DoJ]), -24), "Yes", "No")</f>
        <v>No</v>
      </c>
    </row>
    <row r="167" spans="1:20" x14ac:dyDescent="0.3">
      <c r="A167" s="4">
        <v>93916</v>
      </c>
      <c r="B167" s="5" t="s">
        <v>234</v>
      </c>
      <c r="C167" s="5" t="s">
        <v>484</v>
      </c>
      <c r="D167" s="5" t="s">
        <v>485</v>
      </c>
      <c r="E167" s="5" t="s">
        <v>33</v>
      </c>
      <c r="F167" s="15">
        <v>36106</v>
      </c>
      <c r="G167" s="5">
        <v>3</v>
      </c>
      <c r="H167" s="5" t="s">
        <v>34</v>
      </c>
      <c r="I167" s="5">
        <v>0</v>
      </c>
      <c r="J167" s="5" t="s">
        <v>24</v>
      </c>
      <c r="K167" s="12">
        <v>53040</v>
      </c>
      <c r="L167" s="5" t="s">
        <v>19</v>
      </c>
      <c r="M167" s="6" t="s">
        <v>50</v>
      </c>
      <c r="N167" s="15">
        <v>21046</v>
      </c>
      <c r="O167" s="15">
        <v>36106</v>
      </c>
      <c r="P167" s="5"/>
      <c r="Q167" s="2" t="str">
        <f>INDEX(Table3[#All], MATCH(Table1[[#This Row],[Dept_Id]], Table3[[#All],[Dept_Id]], 0), 1)</f>
        <v>Development</v>
      </c>
      <c r="R167" s="22" t="str">
        <f>IF(Table1[[#This Row],[Left?]] = 1, (Table1[[#This Row],[New_Last_Date]]-Table1[[#This Row],[New_DoJ]])/365.25, "")</f>
        <v/>
      </c>
      <c r="S167" s="2" cm="1">
        <f t="array" ref="S16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67" s="2" t="str">
        <f>IF(Table1[[#This Row],[New_DoJ]] &gt;= EDATE( MAX(Table1[New_DoJ]), -24), "Yes", "No")</f>
        <v>Yes</v>
      </c>
    </row>
    <row r="168" spans="1:20" x14ac:dyDescent="0.3">
      <c r="A168" s="4">
        <v>93916</v>
      </c>
      <c r="B168" s="5" t="s">
        <v>234</v>
      </c>
      <c r="C168" s="5" t="s">
        <v>484</v>
      </c>
      <c r="D168" s="5" t="s">
        <v>485</v>
      </c>
      <c r="E168" s="5" t="s">
        <v>33</v>
      </c>
      <c r="F168" s="15">
        <v>36106</v>
      </c>
      <c r="G168" s="5">
        <v>3</v>
      </c>
      <c r="H168" s="5" t="s">
        <v>34</v>
      </c>
      <c r="I168" s="5">
        <v>0</v>
      </c>
      <c r="J168" s="5" t="s">
        <v>24</v>
      </c>
      <c r="K168" s="12">
        <v>53040</v>
      </c>
      <c r="L168" s="5" t="s">
        <v>55</v>
      </c>
      <c r="M168" s="6" t="s">
        <v>50</v>
      </c>
      <c r="N168" s="15">
        <v>21046</v>
      </c>
      <c r="O168" s="15">
        <v>36106</v>
      </c>
      <c r="P168" s="5"/>
      <c r="Q168" s="2" t="str">
        <f>INDEX(Table3[#All], MATCH(Table1[[#This Row],[Dept_Id]], Table3[[#All],[Dept_Id]], 0), 1)</f>
        <v>Research</v>
      </c>
      <c r="R168" s="22" t="str">
        <f>IF(Table1[[#This Row],[Left?]] = 1, (Table1[[#This Row],[New_Last_Date]]-Table1[[#This Row],[New_DoJ]])/365.25, "")</f>
        <v/>
      </c>
      <c r="S168" s="2" cm="1">
        <f t="array" ref="S16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68" s="2" t="str">
        <f>IF(Table1[[#This Row],[New_DoJ]] &gt;= EDATE( MAX(Table1[New_DoJ]), -24), "Yes", "No")</f>
        <v>Yes</v>
      </c>
    </row>
    <row r="169" spans="1:20" x14ac:dyDescent="0.3">
      <c r="A169" s="4">
        <v>10101</v>
      </c>
      <c r="B169" s="5" t="s">
        <v>486</v>
      </c>
      <c r="C169" s="5" t="s">
        <v>487</v>
      </c>
      <c r="D169" s="5" t="s">
        <v>148</v>
      </c>
      <c r="E169" s="5" t="s">
        <v>33</v>
      </c>
      <c r="F169" s="15">
        <v>33966</v>
      </c>
      <c r="G169" s="5">
        <v>9</v>
      </c>
      <c r="H169" s="5" t="s">
        <v>34</v>
      </c>
      <c r="I169" s="5">
        <v>0</v>
      </c>
      <c r="J169" s="5" t="s">
        <v>24</v>
      </c>
      <c r="K169" s="12">
        <v>66591</v>
      </c>
      <c r="L169" s="5" t="s">
        <v>38</v>
      </c>
      <c r="M169" s="6" t="s">
        <v>39</v>
      </c>
      <c r="N169" s="15">
        <v>19099</v>
      </c>
      <c r="O169" s="15">
        <v>33966</v>
      </c>
      <c r="P169" s="5"/>
      <c r="Q169" s="2" t="str">
        <f>INDEX(Table3[#All], MATCH(Table1[[#This Row],[Dept_Id]], Table3[[#All],[Dept_Id]], 0), 1)</f>
        <v>Sales</v>
      </c>
      <c r="R169" s="22" t="str">
        <f>IF(Table1[[#This Row],[Left?]] = 1, (Table1[[#This Row],[New_Last_Date]]-Table1[[#This Row],[New_DoJ]])/365.25, "")</f>
        <v/>
      </c>
      <c r="S169" s="2" cm="1">
        <f t="array" ref="S16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69" s="2" t="str">
        <f>IF(Table1[[#This Row],[New_DoJ]] &gt;= EDATE( MAX(Table1[New_DoJ]), -24), "Yes", "No")</f>
        <v>No</v>
      </c>
    </row>
    <row r="170" spans="1:20" x14ac:dyDescent="0.3">
      <c r="A170" s="4">
        <v>10102</v>
      </c>
      <c r="B170" s="5" t="s">
        <v>488</v>
      </c>
      <c r="C170" s="5" t="s">
        <v>489</v>
      </c>
      <c r="D170" s="5" t="s">
        <v>490</v>
      </c>
      <c r="E170" s="5" t="s">
        <v>33</v>
      </c>
      <c r="F170" s="15">
        <v>34360</v>
      </c>
      <c r="G170" s="5">
        <v>3</v>
      </c>
      <c r="H170" s="5" t="s">
        <v>29</v>
      </c>
      <c r="I170" s="5">
        <v>1</v>
      </c>
      <c r="J170" s="5" t="s">
        <v>491</v>
      </c>
      <c r="K170" s="12">
        <v>44380</v>
      </c>
      <c r="L170" s="5" t="s">
        <v>25</v>
      </c>
      <c r="M170" s="6" t="s">
        <v>50</v>
      </c>
      <c r="N170" s="15">
        <v>21858</v>
      </c>
      <c r="O170" s="15">
        <v>34360</v>
      </c>
      <c r="P170" s="15">
        <v>37636</v>
      </c>
      <c r="Q170" s="2" t="str">
        <f>INDEX(Table3[#All], MATCH(Table1[[#This Row],[Dept_Id]], Table3[[#All],[Dept_Id]], 0), 1)</f>
        <v>Production</v>
      </c>
      <c r="R170" s="22">
        <f>IF(Table1[[#This Row],[Left?]] = 1, (Table1[[#This Row],[New_Last_Date]]-Table1[[#This Row],[New_DoJ]])/365.25, "")</f>
        <v>8.9691991786447645</v>
      </c>
      <c r="S170" s="2" cm="1">
        <f t="array" ref="S17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70" s="2" t="str">
        <f>IF(Table1[[#This Row],[New_DoJ]] &gt;= EDATE( MAX(Table1[New_DoJ]), -24), "Yes", "No")</f>
        <v>No</v>
      </c>
    </row>
    <row r="171" spans="1:20" x14ac:dyDescent="0.3">
      <c r="A171" s="4">
        <v>430653</v>
      </c>
      <c r="B171" s="5" t="s">
        <v>492</v>
      </c>
      <c r="C171" s="5" t="s">
        <v>493</v>
      </c>
      <c r="D171" s="5" t="s">
        <v>494</v>
      </c>
      <c r="E171" s="5" t="s">
        <v>33</v>
      </c>
      <c r="F171" s="15">
        <v>32781</v>
      </c>
      <c r="G171" s="5">
        <v>4</v>
      </c>
      <c r="H171" s="5" t="s">
        <v>29</v>
      </c>
      <c r="I171" s="5">
        <v>0</v>
      </c>
      <c r="J171" s="5" t="s">
        <v>24</v>
      </c>
      <c r="K171" s="12">
        <v>69077</v>
      </c>
      <c r="L171" s="5" t="s">
        <v>19</v>
      </c>
      <c r="M171" s="6" t="s">
        <v>20</v>
      </c>
      <c r="N171" s="15">
        <v>22153</v>
      </c>
      <c r="O171" s="15">
        <v>32781</v>
      </c>
      <c r="P171" s="5"/>
      <c r="Q171" s="2" t="str">
        <f>INDEX(Table3[#All], MATCH(Table1[[#This Row],[Dept_Id]], Table3[[#All],[Dept_Id]], 0), 1)</f>
        <v>Development</v>
      </c>
      <c r="R171" s="22" t="str">
        <f>IF(Table1[[#This Row],[Left?]] = 1, (Table1[[#This Row],[New_Last_Date]]-Table1[[#This Row],[New_DoJ]])/365.25, "")</f>
        <v/>
      </c>
      <c r="S171" s="2" cm="1">
        <f t="array" ref="S17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71" s="2" t="str">
        <f>IF(Table1[[#This Row],[New_DoJ]] &gt;= EDATE( MAX(Table1[New_DoJ]), -24), "Yes", "No")</f>
        <v>No</v>
      </c>
    </row>
    <row r="172" spans="1:20" x14ac:dyDescent="0.3">
      <c r="A172" s="4">
        <v>10103</v>
      </c>
      <c r="B172" s="5" t="s">
        <v>495</v>
      </c>
      <c r="C172" s="5" t="s">
        <v>496</v>
      </c>
      <c r="D172" s="5" t="s">
        <v>497</v>
      </c>
      <c r="E172" s="5" t="s">
        <v>16</v>
      </c>
      <c r="F172" s="15">
        <v>31748</v>
      </c>
      <c r="G172" s="5">
        <v>5</v>
      </c>
      <c r="H172" s="5" t="s">
        <v>34</v>
      </c>
      <c r="I172" s="5">
        <v>0</v>
      </c>
      <c r="J172" s="5" t="s">
        <v>24</v>
      </c>
      <c r="K172" s="12">
        <v>68158</v>
      </c>
      <c r="L172" s="5" t="s">
        <v>19</v>
      </c>
      <c r="M172" s="6" t="s">
        <v>50</v>
      </c>
      <c r="N172" s="15">
        <v>19689</v>
      </c>
      <c r="O172" s="15">
        <v>31748</v>
      </c>
      <c r="P172" s="5"/>
      <c r="Q172" s="2" t="str">
        <f>INDEX(Table3[#All], MATCH(Table1[[#This Row],[Dept_Id]], Table3[[#All],[Dept_Id]], 0), 1)</f>
        <v>Development</v>
      </c>
      <c r="R172" s="22" t="str">
        <f>IF(Table1[[#This Row],[Left?]] = 1, (Table1[[#This Row],[New_Last_Date]]-Table1[[#This Row],[New_DoJ]])/365.25, "")</f>
        <v/>
      </c>
      <c r="S172" s="2" cm="1">
        <f t="array" ref="S17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72" s="2" t="str">
        <f>IF(Table1[[#This Row],[New_DoJ]] &gt;= EDATE( MAX(Table1[New_DoJ]), -24), "Yes", "No")</f>
        <v>No</v>
      </c>
    </row>
    <row r="173" spans="1:20" x14ac:dyDescent="0.3">
      <c r="A173" s="4">
        <v>10104</v>
      </c>
      <c r="B173" s="5" t="s">
        <v>498</v>
      </c>
      <c r="C173" s="5" t="s">
        <v>499</v>
      </c>
      <c r="D173" s="5" t="s">
        <v>121</v>
      </c>
      <c r="E173" s="5" t="s">
        <v>16</v>
      </c>
      <c r="F173" s="15">
        <v>31883</v>
      </c>
      <c r="G173" s="5">
        <v>5</v>
      </c>
      <c r="H173" s="5" t="s">
        <v>34</v>
      </c>
      <c r="I173" s="5">
        <v>0</v>
      </c>
      <c r="J173" s="5" t="s">
        <v>24</v>
      </c>
      <c r="K173" s="12">
        <v>45312</v>
      </c>
      <c r="L173" s="5" t="s">
        <v>55</v>
      </c>
      <c r="M173" s="6" t="s">
        <v>87</v>
      </c>
      <c r="N173" s="15">
        <v>22604</v>
      </c>
      <c r="O173" s="15">
        <v>31883</v>
      </c>
      <c r="P173" s="5"/>
      <c r="Q173" s="2" t="str">
        <f>INDEX(Table3[#All], MATCH(Table1[[#This Row],[Dept_Id]], Table3[[#All],[Dept_Id]], 0), 1)</f>
        <v>Research</v>
      </c>
      <c r="R173" s="22" t="str">
        <f>IF(Table1[[#This Row],[Left?]] = 1, (Table1[[#This Row],[New_Last_Date]]-Table1[[#This Row],[New_DoJ]])/365.25, "")</f>
        <v/>
      </c>
      <c r="S173" s="2" cm="1">
        <f t="array" ref="S17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73" s="2" t="str">
        <f>IF(Table1[[#This Row],[New_DoJ]] &gt;= EDATE( MAX(Table1[New_DoJ]), -24), "Yes", "No")</f>
        <v>No</v>
      </c>
    </row>
    <row r="174" spans="1:20" x14ac:dyDescent="0.3">
      <c r="A174" s="4">
        <v>293744</v>
      </c>
      <c r="B174" s="5" t="s">
        <v>500</v>
      </c>
      <c r="C174" s="5" t="s">
        <v>501</v>
      </c>
      <c r="D174" s="5" t="s">
        <v>502</v>
      </c>
      <c r="E174" s="5" t="s">
        <v>16</v>
      </c>
      <c r="F174" s="15">
        <v>31958</v>
      </c>
      <c r="G174" s="5">
        <v>2</v>
      </c>
      <c r="H174" s="5" t="s">
        <v>34</v>
      </c>
      <c r="I174" s="5">
        <v>0</v>
      </c>
      <c r="J174" s="5" t="s">
        <v>24</v>
      </c>
      <c r="K174" s="12">
        <v>40000</v>
      </c>
      <c r="L174" s="5" t="s">
        <v>92</v>
      </c>
      <c r="M174" s="6" t="s">
        <v>39</v>
      </c>
      <c r="N174" s="15">
        <v>19113</v>
      </c>
      <c r="O174" s="15">
        <v>31958</v>
      </c>
      <c r="P174" s="5"/>
      <c r="Q174" s="2" t="str">
        <f>INDEX(Table3[#All], MATCH(Table1[[#This Row],[Dept_Id]], Table3[[#All],[Dept_Id]], 0), 1)</f>
        <v>Finance</v>
      </c>
      <c r="R174" s="22" t="str">
        <f>IF(Table1[[#This Row],[Left?]] = 1, (Table1[[#This Row],[New_Last_Date]]-Table1[[#This Row],[New_DoJ]])/365.25, "")</f>
        <v/>
      </c>
      <c r="S174" s="2" cm="1">
        <f t="array" ref="S17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74" s="2" t="str">
        <f>IF(Table1[[#This Row],[New_DoJ]] &gt;= EDATE( MAX(Table1[New_DoJ]), -24), "Yes", "No")</f>
        <v>No</v>
      </c>
    </row>
    <row r="175" spans="1:20" x14ac:dyDescent="0.3">
      <c r="A175" s="4">
        <v>293744</v>
      </c>
      <c r="B175" s="5" t="s">
        <v>500</v>
      </c>
      <c r="C175" s="5" t="s">
        <v>501</v>
      </c>
      <c r="D175" s="5" t="s">
        <v>502</v>
      </c>
      <c r="E175" s="5" t="s">
        <v>16</v>
      </c>
      <c r="F175" s="15">
        <v>31958</v>
      </c>
      <c r="G175" s="5">
        <v>2</v>
      </c>
      <c r="H175" s="5" t="s">
        <v>34</v>
      </c>
      <c r="I175" s="5">
        <v>0</v>
      </c>
      <c r="J175" s="5" t="s">
        <v>24</v>
      </c>
      <c r="K175" s="12">
        <v>40000</v>
      </c>
      <c r="L175" s="5" t="s">
        <v>43</v>
      </c>
      <c r="M175" s="6" t="s">
        <v>39</v>
      </c>
      <c r="N175" s="15">
        <v>19113</v>
      </c>
      <c r="O175" s="15">
        <v>31958</v>
      </c>
      <c r="P175" s="5"/>
      <c r="Q175" s="2" t="str">
        <f>INDEX(Table3[#All], MATCH(Table1[[#This Row],[Dept_Id]], Table3[[#All],[Dept_Id]], 0), 1)</f>
        <v>Human Resources</v>
      </c>
      <c r="R175" s="22" t="str">
        <f>IF(Table1[[#This Row],[Left?]] = 1, (Table1[[#This Row],[New_Last_Date]]-Table1[[#This Row],[New_DoJ]])/365.25, "")</f>
        <v/>
      </c>
      <c r="S175" s="2" cm="1">
        <f t="array" ref="S17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75" s="2" t="str">
        <f>IF(Table1[[#This Row],[New_DoJ]] &gt;= EDATE( MAX(Table1[New_DoJ]), -24), "Yes", "No")</f>
        <v>No</v>
      </c>
    </row>
    <row r="176" spans="1:20" x14ac:dyDescent="0.3">
      <c r="A176" s="4">
        <v>10105</v>
      </c>
      <c r="B176" s="5" t="s">
        <v>503</v>
      </c>
      <c r="C176" s="5" t="s">
        <v>359</v>
      </c>
      <c r="D176" s="5" t="s">
        <v>69</v>
      </c>
      <c r="E176" s="5" t="s">
        <v>16</v>
      </c>
      <c r="F176" s="15">
        <v>36242</v>
      </c>
      <c r="G176" s="5">
        <v>2</v>
      </c>
      <c r="H176" s="5" t="s">
        <v>17</v>
      </c>
      <c r="I176" s="5">
        <v>0</v>
      </c>
      <c r="J176" s="5" t="s">
        <v>24</v>
      </c>
      <c r="K176" s="12">
        <v>59258</v>
      </c>
      <c r="L176" s="5" t="s">
        <v>43</v>
      </c>
      <c r="M176" s="6" t="s">
        <v>39</v>
      </c>
      <c r="N176" s="15">
        <v>22682</v>
      </c>
      <c r="O176" s="15">
        <v>36242</v>
      </c>
      <c r="P176" s="5"/>
      <c r="Q176" s="2" t="str">
        <f>INDEX(Table3[#All], MATCH(Table1[[#This Row],[Dept_Id]], Table3[[#All],[Dept_Id]], 0), 1)</f>
        <v>Human Resources</v>
      </c>
      <c r="R176" s="22" t="str">
        <f>IF(Table1[[#This Row],[Left?]] = 1, (Table1[[#This Row],[New_Last_Date]]-Table1[[#This Row],[New_DoJ]])/365.25, "")</f>
        <v/>
      </c>
      <c r="S176" s="2" cm="1">
        <f t="array" ref="S17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76" s="2" t="str">
        <f>IF(Table1[[#This Row],[New_DoJ]] &gt;= EDATE( MAX(Table1[New_DoJ]), -24), "Yes", "No")</f>
        <v>Yes</v>
      </c>
    </row>
    <row r="177" spans="1:20" x14ac:dyDescent="0.3">
      <c r="A177" s="4">
        <v>10106</v>
      </c>
      <c r="B177" s="5" t="s">
        <v>504</v>
      </c>
      <c r="C177" s="5" t="s">
        <v>505</v>
      </c>
      <c r="D177" s="5" t="s">
        <v>506</v>
      </c>
      <c r="E177" s="5" t="s">
        <v>16</v>
      </c>
      <c r="F177" s="15">
        <v>33226</v>
      </c>
      <c r="G177" s="5">
        <v>4</v>
      </c>
      <c r="H177" s="5" t="s">
        <v>17</v>
      </c>
      <c r="I177" s="5">
        <v>0</v>
      </c>
      <c r="J177" s="5" t="s">
        <v>24</v>
      </c>
      <c r="K177" s="12">
        <v>62928</v>
      </c>
      <c r="L177" s="5" t="s">
        <v>25</v>
      </c>
      <c r="M177" s="6" t="s">
        <v>20</v>
      </c>
      <c r="N177" s="15">
        <v>19235</v>
      </c>
      <c r="O177" s="15">
        <v>33226</v>
      </c>
      <c r="P177" s="5"/>
      <c r="Q177" s="2" t="str">
        <f>INDEX(Table3[#All], MATCH(Table1[[#This Row],[Dept_Id]], Table3[[#All],[Dept_Id]], 0), 1)</f>
        <v>Production</v>
      </c>
      <c r="R177" s="22" t="str">
        <f>IF(Table1[[#This Row],[Left?]] = 1, (Table1[[#This Row],[New_Last_Date]]-Table1[[#This Row],[New_DoJ]])/365.25, "")</f>
        <v/>
      </c>
      <c r="S177" s="2" cm="1">
        <f t="array" ref="S17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77" s="2" t="str">
        <f>IF(Table1[[#This Row],[New_DoJ]] &gt;= EDATE( MAX(Table1[New_DoJ]), -24), "Yes", "No")</f>
        <v>No</v>
      </c>
    </row>
    <row r="178" spans="1:20" x14ac:dyDescent="0.3">
      <c r="A178" s="4">
        <v>222134</v>
      </c>
      <c r="B178" s="5" t="s">
        <v>507</v>
      </c>
      <c r="C178" s="5" t="s">
        <v>508</v>
      </c>
      <c r="D178" s="5" t="s">
        <v>509</v>
      </c>
      <c r="E178" s="5" t="s">
        <v>16</v>
      </c>
      <c r="F178" s="15">
        <v>31456</v>
      </c>
      <c r="G178" s="5">
        <v>3</v>
      </c>
      <c r="H178" s="5" t="s">
        <v>29</v>
      </c>
      <c r="I178" s="5">
        <v>0</v>
      </c>
      <c r="J178" s="5" t="s">
        <v>24</v>
      </c>
      <c r="K178" s="12">
        <v>48391</v>
      </c>
      <c r="L178" s="5" t="s">
        <v>19</v>
      </c>
      <c r="M178" s="6" t="s">
        <v>20</v>
      </c>
      <c r="N178" s="15">
        <v>22715</v>
      </c>
      <c r="O178" s="15">
        <v>31456</v>
      </c>
      <c r="P178" s="5"/>
      <c r="Q178" s="2" t="str">
        <f>INDEX(Table3[#All], MATCH(Table1[[#This Row],[Dept_Id]], Table3[[#All],[Dept_Id]], 0), 1)</f>
        <v>Development</v>
      </c>
      <c r="R178" s="22" t="str">
        <f>IF(Table1[[#This Row],[Left?]] = 1, (Table1[[#This Row],[New_Last_Date]]-Table1[[#This Row],[New_DoJ]])/365.25, "")</f>
        <v/>
      </c>
      <c r="S178" s="2" cm="1">
        <f t="array" ref="S17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78" s="2" t="str">
        <f>IF(Table1[[#This Row],[New_DoJ]] &gt;= EDATE( MAX(Table1[New_DoJ]), -24), "Yes", "No")</f>
        <v>No</v>
      </c>
    </row>
    <row r="179" spans="1:20" x14ac:dyDescent="0.3">
      <c r="A179" s="4">
        <v>10107</v>
      </c>
      <c r="B179" s="5" t="s">
        <v>510</v>
      </c>
      <c r="C179" s="5" t="s">
        <v>511</v>
      </c>
      <c r="D179" s="5" t="s">
        <v>512</v>
      </c>
      <c r="E179" s="5" t="s">
        <v>33</v>
      </c>
      <c r="F179" s="15">
        <v>34415</v>
      </c>
      <c r="G179" s="5">
        <v>7</v>
      </c>
      <c r="H179" s="5" t="s">
        <v>291</v>
      </c>
      <c r="I179" s="5">
        <v>0</v>
      </c>
      <c r="J179" s="5" t="s">
        <v>24</v>
      </c>
      <c r="K179" s="12">
        <v>93159</v>
      </c>
      <c r="L179" s="5" t="s">
        <v>38</v>
      </c>
      <c r="M179" s="6" t="s">
        <v>87</v>
      </c>
      <c r="N179" s="15">
        <v>20619</v>
      </c>
      <c r="O179" s="15">
        <v>34415</v>
      </c>
      <c r="P179" s="5"/>
      <c r="Q179" s="2" t="str">
        <f>INDEX(Table3[#All], MATCH(Table1[[#This Row],[Dept_Id]], Table3[[#All],[Dept_Id]], 0), 1)</f>
        <v>Sales</v>
      </c>
      <c r="R179" s="22" t="str">
        <f>IF(Table1[[#This Row],[Left?]] = 1, (Table1[[#This Row],[New_Last_Date]]-Table1[[#This Row],[New_DoJ]])/365.25, "")</f>
        <v/>
      </c>
      <c r="S179" s="2" cm="1">
        <f t="array" ref="S17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5</v>
      </c>
      <c r="T179" s="2" t="str">
        <f>IF(Table1[[#This Row],[New_DoJ]] &gt;= EDATE( MAX(Table1[New_DoJ]), -24), "Yes", "No")</f>
        <v>No</v>
      </c>
    </row>
    <row r="180" spans="1:20" x14ac:dyDescent="0.3">
      <c r="A180" s="4">
        <v>10108</v>
      </c>
      <c r="B180" s="5" t="s">
        <v>513</v>
      </c>
      <c r="C180" s="5" t="s">
        <v>514</v>
      </c>
      <c r="D180" s="5" t="s">
        <v>515</v>
      </c>
      <c r="E180" s="5" t="s">
        <v>16</v>
      </c>
      <c r="F180" s="15">
        <v>31687</v>
      </c>
      <c r="G180" s="5">
        <v>2</v>
      </c>
      <c r="H180" s="5" t="s">
        <v>29</v>
      </c>
      <c r="I180" s="5">
        <v>0</v>
      </c>
      <c r="J180" s="5" t="s">
        <v>24</v>
      </c>
      <c r="K180" s="12">
        <v>40000</v>
      </c>
      <c r="L180" s="5" t="s">
        <v>105</v>
      </c>
      <c r="M180" s="6" t="s">
        <v>39</v>
      </c>
      <c r="N180" s="15">
        <v>19091</v>
      </c>
      <c r="O180" s="15">
        <v>31687</v>
      </c>
      <c r="P180" s="5"/>
      <c r="Q180" s="2" t="str">
        <f>INDEX(Table3[#All], MATCH(Table1[[#This Row],[Dept_Id]], Table3[[#All],[Dept_Id]], 0), 1)</f>
        <v>Marketing</v>
      </c>
      <c r="R180" s="22" t="str">
        <f>IF(Table1[[#This Row],[Left?]] = 1, (Table1[[#This Row],[New_Last_Date]]-Table1[[#This Row],[New_DoJ]])/365.25, "")</f>
        <v/>
      </c>
      <c r="S180" s="2" cm="1">
        <f t="array" ref="S18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80" s="2" t="str">
        <f>IF(Table1[[#This Row],[New_DoJ]] &gt;= EDATE( MAX(Table1[New_DoJ]), -24), "Yes", "No")</f>
        <v>No</v>
      </c>
    </row>
    <row r="181" spans="1:20" x14ac:dyDescent="0.3">
      <c r="A181" s="4">
        <v>10108</v>
      </c>
      <c r="B181" s="5" t="s">
        <v>513</v>
      </c>
      <c r="C181" s="5" t="s">
        <v>514</v>
      </c>
      <c r="D181" s="5" t="s">
        <v>515</v>
      </c>
      <c r="E181" s="5" t="s">
        <v>16</v>
      </c>
      <c r="F181" s="15">
        <v>31687</v>
      </c>
      <c r="G181" s="5">
        <v>2</v>
      </c>
      <c r="H181" s="5" t="s">
        <v>29</v>
      </c>
      <c r="I181" s="5">
        <v>0</v>
      </c>
      <c r="J181" s="5" t="s">
        <v>24</v>
      </c>
      <c r="K181" s="12">
        <v>40000</v>
      </c>
      <c r="L181" s="5" t="s">
        <v>43</v>
      </c>
      <c r="M181" s="6" t="s">
        <v>39</v>
      </c>
      <c r="N181" s="15">
        <v>19091</v>
      </c>
      <c r="O181" s="15">
        <v>31687</v>
      </c>
      <c r="P181" s="5"/>
      <c r="Q181" s="2" t="str">
        <f>INDEX(Table3[#All], MATCH(Table1[[#This Row],[Dept_Id]], Table3[[#All],[Dept_Id]], 0), 1)</f>
        <v>Human Resources</v>
      </c>
      <c r="R181" s="22" t="str">
        <f>IF(Table1[[#This Row],[Left?]] = 1, (Table1[[#This Row],[New_Last_Date]]-Table1[[#This Row],[New_DoJ]])/365.25, "")</f>
        <v/>
      </c>
      <c r="S181" s="2" cm="1">
        <f t="array" ref="S18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81" s="2" t="str">
        <f>IF(Table1[[#This Row],[New_DoJ]] &gt;= EDATE( MAX(Table1[New_DoJ]), -24), "Yes", "No")</f>
        <v>No</v>
      </c>
    </row>
    <row r="182" spans="1:20" x14ac:dyDescent="0.3">
      <c r="A182" s="4">
        <v>465348</v>
      </c>
      <c r="B182" s="5" t="s">
        <v>516</v>
      </c>
      <c r="C182" s="5" t="s">
        <v>517</v>
      </c>
      <c r="D182" s="5" t="s">
        <v>518</v>
      </c>
      <c r="E182" s="5" t="s">
        <v>16</v>
      </c>
      <c r="F182" s="15">
        <v>33643</v>
      </c>
      <c r="G182" s="5">
        <v>3</v>
      </c>
      <c r="H182" s="5" t="s">
        <v>34</v>
      </c>
      <c r="I182" s="5">
        <v>0</v>
      </c>
      <c r="J182" s="5" t="s">
        <v>24</v>
      </c>
      <c r="K182" s="12">
        <v>40000</v>
      </c>
      <c r="L182" s="5" t="s">
        <v>19</v>
      </c>
      <c r="M182" s="6" t="s">
        <v>50</v>
      </c>
      <c r="N182" s="15">
        <v>21376</v>
      </c>
      <c r="O182" s="15">
        <v>33643</v>
      </c>
      <c r="P182" s="5"/>
      <c r="Q182" s="2" t="str">
        <f>INDEX(Table3[#All], MATCH(Table1[[#This Row],[Dept_Id]], Table3[[#All],[Dept_Id]], 0), 1)</f>
        <v>Development</v>
      </c>
      <c r="R182" s="22" t="str">
        <f>IF(Table1[[#This Row],[Left?]] = 1, (Table1[[#This Row],[New_Last_Date]]-Table1[[#This Row],[New_DoJ]])/365.25, "")</f>
        <v/>
      </c>
      <c r="S182" s="2" cm="1">
        <f t="array" ref="S18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82" s="2" t="str">
        <f>IF(Table1[[#This Row],[New_DoJ]] &gt;= EDATE( MAX(Table1[New_DoJ]), -24), "Yes", "No")</f>
        <v>No</v>
      </c>
    </row>
    <row r="183" spans="1:20" x14ac:dyDescent="0.3">
      <c r="A183" s="4">
        <v>10109</v>
      </c>
      <c r="B183" s="5" t="s">
        <v>193</v>
      </c>
      <c r="C183" s="5" t="s">
        <v>519</v>
      </c>
      <c r="D183" s="5" t="s">
        <v>520</v>
      </c>
      <c r="E183" s="5" t="s">
        <v>33</v>
      </c>
      <c r="F183" s="15">
        <v>34136</v>
      </c>
      <c r="G183" s="5">
        <v>7</v>
      </c>
      <c r="H183" s="5" t="s">
        <v>29</v>
      </c>
      <c r="I183" s="5">
        <v>0</v>
      </c>
      <c r="J183" s="5" t="s">
        <v>24</v>
      </c>
      <c r="K183" s="12">
        <v>40000</v>
      </c>
      <c r="L183" s="5" t="s">
        <v>25</v>
      </c>
      <c r="M183" s="6" t="s">
        <v>20</v>
      </c>
      <c r="N183" s="15">
        <v>21514</v>
      </c>
      <c r="O183" s="15">
        <v>34136</v>
      </c>
      <c r="P183" s="5"/>
      <c r="Q183" s="2" t="str">
        <f>INDEX(Table3[#All], MATCH(Table1[[#This Row],[Dept_Id]], Table3[[#All],[Dept_Id]], 0), 1)</f>
        <v>Production</v>
      </c>
      <c r="R183" s="22" t="str">
        <f>IF(Table1[[#This Row],[Left?]] = 1, (Table1[[#This Row],[New_Last_Date]]-Table1[[#This Row],[New_DoJ]])/365.25, "")</f>
        <v/>
      </c>
      <c r="S183" s="2" cm="1">
        <f t="array" ref="S18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83" s="2" t="str">
        <f>IF(Table1[[#This Row],[New_DoJ]] &gt;= EDATE( MAX(Table1[New_DoJ]), -24), "Yes", "No")</f>
        <v>No</v>
      </c>
    </row>
    <row r="184" spans="1:20" x14ac:dyDescent="0.3">
      <c r="A184" s="4">
        <v>92149</v>
      </c>
      <c r="B184" s="5" t="s">
        <v>521</v>
      </c>
      <c r="C184" s="5" t="s">
        <v>522</v>
      </c>
      <c r="D184" s="5" t="s">
        <v>523</v>
      </c>
      <c r="E184" s="5" t="s">
        <v>33</v>
      </c>
      <c r="F184" s="15">
        <v>32400</v>
      </c>
      <c r="G184" s="5">
        <v>4</v>
      </c>
      <c r="H184" s="5" t="s">
        <v>34</v>
      </c>
      <c r="I184" s="5">
        <v>0</v>
      </c>
      <c r="J184" s="5" t="s">
        <v>24</v>
      </c>
      <c r="K184" s="12">
        <v>69585</v>
      </c>
      <c r="L184" s="5" t="s">
        <v>92</v>
      </c>
      <c r="M184" s="6" t="s">
        <v>39</v>
      </c>
      <c r="N184" s="15">
        <v>20898</v>
      </c>
      <c r="O184" s="15">
        <v>32400</v>
      </c>
      <c r="P184" s="5"/>
      <c r="Q184" s="2" t="str">
        <f>INDEX(Table3[#All], MATCH(Table1[[#This Row],[Dept_Id]], Table3[[#All],[Dept_Id]], 0), 1)</f>
        <v>Finance</v>
      </c>
      <c r="R184" s="22" t="str">
        <f>IF(Table1[[#This Row],[Left?]] = 1, (Table1[[#This Row],[New_Last_Date]]-Table1[[#This Row],[New_DoJ]])/365.25, "")</f>
        <v/>
      </c>
      <c r="S184" s="2" cm="1">
        <f t="array" ref="S18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84" s="2" t="str">
        <f>IF(Table1[[#This Row],[New_DoJ]] &gt;= EDATE( MAX(Table1[New_DoJ]), -24), "Yes", "No")</f>
        <v>No</v>
      </c>
    </row>
    <row r="185" spans="1:20" x14ac:dyDescent="0.3">
      <c r="A185" s="4">
        <v>10110</v>
      </c>
      <c r="B185" s="5" t="s">
        <v>524</v>
      </c>
      <c r="C185" s="5" t="s">
        <v>525</v>
      </c>
      <c r="D185" s="5" t="s">
        <v>526</v>
      </c>
      <c r="E185" s="5" t="s">
        <v>33</v>
      </c>
      <c r="F185" s="15">
        <v>31646</v>
      </c>
      <c r="G185" s="5">
        <v>9</v>
      </c>
      <c r="H185" s="5" t="s">
        <v>29</v>
      </c>
      <c r="I185" s="5">
        <v>0</v>
      </c>
      <c r="J185" s="5" t="s">
        <v>24</v>
      </c>
      <c r="K185" s="12">
        <v>46836</v>
      </c>
      <c r="L185" s="5" t="s">
        <v>43</v>
      </c>
      <c r="M185" s="6" t="s">
        <v>39</v>
      </c>
      <c r="N185" s="15">
        <v>20886</v>
      </c>
      <c r="O185" s="15">
        <v>31646</v>
      </c>
      <c r="P185" s="5"/>
      <c r="Q185" s="2" t="str">
        <f>INDEX(Table3[#All], MATCH(Table1[[#This Row],[Dept_Id]], Table3[[#All],[Dept_Id]], 0), 1)</f>
        <v>Human Resources</v>
      </c>
      <c r="R185" s="22" t="str">
        <f>IF(Table1[[#This Row],[Left?]] = 1, (Table1[[#This Row],[New_Last_Date]]-Table1[[#This Row],[New_DoJ]])/365.25, "")</f>
        <v/>
      </c>
      <c r="S185" s="2" cm="1">
        <f t="array" ref="S18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85" s="2" t="str">
        <f>IF(Table1[[#This Row],[New_DoJ]] &gt;= EDATE( MAX(Table1[New_DoJ]), -24), "Yes", "No")</f>
        <v>No</v>
      </c>
    </row>
    <row r="186" spans="1:20" x14ac:dyDescent="0.3">
      <c r="A186" s="4">
        <v>10111</v>
      </c>
      <c r="B186" s="5" t="s">
        <v>527</v>
      </c>
      <c r="C186" s="5" t="s">
        <v>528</v>
      </c>
      <c r="D186" s="5" t="s">
        <v>529</v>
      </c>
      <c r="E186" s="5" t="s">
        <v>33</v>
      </c>
      <c r="F186" s="15">
        <v>32313</v>
      </c>
      <c r="G186" s="5">
        <v>6</v>
      </c>
      <c r="H186" s="5" t="s">
        <v>29</v>
      </c>
      <c r="I186" s="5">
        <v>0</v>
      </c>
      <c r="J186" s="5" t="s">
        <v>24</v>
      </c>
      <c r="K186" s="12">
        <v>40000</v>
      </c>
      <c r="L186" s="5" t="s">
        <v>63</v>
      </c>
      <c r="M186" s="6" t="s">
        <v>20</v>
      </c>
      <c r="N186" s="15">
        <v>23252</v>
      </c>
      <c r="O186" s="15">
        <v>32313</v>
      </c>
      <c r="P186" s="5"/>
      <c r="Q186" s="2" t="str">
        <f>INDEX(Table3[#All], MATCH(Table1[[#This Row],[Dept_Id]], Table3[[#All],[Dept_Id]], 0), 1)</f>
        <v>Quality Management</v>
      </c>
      <c r="R186" s="22" t="str">
        <f>IF(Table1[[#This Row],[Left?]] = 1, (Table1[[#This Row],[New_Last_Date]]-Table1[[#This Row],[New_DoJ]])/365.25, "")</f>
        <v/>
      </c>
      <c r="S186" s="2" cm="1">
        <f t="array" ref="S18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86" s="2" t="str">
        <f>IF(Table1[[#This Row],[New_DoJ]] &gt;= EDATE( MAX(Table1[New_DoJ]), -24), "Yes", "No")</f>
        <v>No</v>
      </c>
    </row>
    <row r="187" spans="1:20" x14ac:dyDescent="0.3">
      <c r="A187" s="4">
        <v>406318</v>
      </c>
      <c r="B187" s="5" t="s">
        <v>530</v>
      </c>
      <c r="C187" s="5" t="s">
        <v>531</v>
      </c>
      <c r="D187" s="5" t="s">
        <v>532</v>
      </c>
      <c r="E187" s="5" t="s">
        <v>16</v>
      </c>
      <c r="F187" s="15">
        <v>32103</v>
      </c>
      <c r="G187" s="5">
        <v>9</v>
      </c>
      <c r="H187" s="5" t="s">
        <v>29</v>
      </c>
      <c r="I187" s="5">
        <v>0</v>
      </c>
      <c r="J187" s="5" t="s">
        <v>24</v>
      </c>
      <c r="K187" s="12">
        <v>55145</v>
      </c>
      <c r="L187" s="5" t="s">
        <v>19</v>
      </c>
      <c r="M187" s="6" t="s">
        <v>20</v>
      </c>
      <c r="N187" s="15">
        <v>19270</v>
      </c>
      <c r="O187" s="15">
        <v>32103</v>
      </c>
      <c r="P187" s="5"/>
      <c r="Q187" s="2" t="str">
        <f>INDEX(Table3[#All], MATCH(Table1[[#This Row],[Dept_Id]], Table3[[#All],[Dept_Id]], 0), 1)</f>
        <v>Development</v>
      </c>
      <c r="R187" s="22" t="str">
        <f>IF(Table1[[#This Row],[Left?]] = 1, (Table1[[#This Row],[New_Last_Date]]-Table1[[#This Row],[New_DoJ]])/365.25, "")</f>
        <v/>
      </c>
      <c r="S187" s="2" cm="1">
        <f t="array" ref="S18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87" s="2" t="str">
        <f>IF(Table1[[#This Row],[New_DoJ]] &gt;= EDATE( MAX(Table1[New_DoJ]), -24), "Yes", "No")</f>
        <v>No</v>
      </c>
    </row>
    <row r="188" spans="1:20" x14ac:dyDescent="0.3">
      <c r="A188" s="4">
        <v>10112</v>
      </c>
      <c r="B188" s="5" t="s">
        <v>533</v>
      </c>
      <c r="C188" s="5" t="s">
        <v>534</v>
      </c>
      <c r="D188" s="5" t="s">
        <v>535</v>
      </c>
      <c r="E188" s="5" t="s">
        <v>33</v>
      </c>
      <c r="F188" s="15">
        <v>31328</v>
      </c>
      <c r="G188" s="5">
        <v>2</v>
      </c>
      <c r="H188" s="5" t="s">
        <v>17</v>
      </c>
      <c r="I188" s="5">
        <v>0</v>
      </c>
      <c r="J188" s="5" t="s">
        <v>24</v>
      </c>
      <c r="K188" s="12">
        <v>49500</v>
      </c>
      <c r="L188" s="5" t="s">
        <v>77</v>
      </c>
      <c r="M188" s="6" t="s">
        <v>39</v>
      </c>
      <c r="N188" s="15">
        <v>23236</v>
      </c>
      <c r="O188" s="15">
        <v>31328</v>
      </c>
      <c r="P188" s="5"/>
      <c r="Q188" s="2" t="str">
        <f>INDEX(Table3[#All], MATCH(Table1[[#This Row],[Dept_Id]], Table3[[#All],[Dept_Id]], 0), 1)</f>
        <v>Customer Service</v>
      </c>
      <c r="R188" s="22" t="str">
        <f>IF(Table1[[#This Row],[Left?]] = 1, (Table1[[#This Row],[New_Last_Date]]-Table1[[#This Row],[New_DoJ]])/365.25, "")</f>
        <v/>
      </c>
      <c r="S188" s="2" cm="1">
        <f t="array" ref="S18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88" s="2" t="str">
        <f>IF(Table1[[#This Row],[New_DoJ]] &gt;= EDATE( MAX(Table1[New_DoJ]), -24), "Yes", "No")</f>
        <v>No</v>
      </c>
    </row>
    <row r="189" spans="1:20" x14ac:dyDescent="0.3">
      <c r="A189" s="4">
        <v>10113</v>
      </c>
      <c r="B189" s="5" t="s">
        <v>536</v>
      </c>
      <c r="C189" s="5" t="s">
        <v>537</v>
      </c>
      <c r="D189" s="5" t="s">
        <v>431</v>
      </c>
      <c r="E189" s="5" t="s">
        <v>16</v>
      </c>
      <c r="F189" s="15">
        <v>32866</v>
      </c>
      <c r="G189" s="5">
        <v>10</v>
      </c>
      <c r="H189" s="5" t="s">
        <v>29</v>
      </c>
      <c r="I189" s="5">
        <v>0</v>
      </c>
      <c r="J189" s="5" t="s">
        <v>24</v>
      </c>
      <c r="K189" s="12">
        <v>69856</v>
      </c>
      <c r="L189" s="5" t="s">
        <v>25</v>
      </c>
      <c r="M189" s="6" t="s">
        <v>50</v>
      </c>
      <c r="N189" s="15">
        <v>23328</v>
      </c>
      <c r="O189" s="15">
        <v>32866</v>
      </c>
      <c r="P189" s="5"/>
      <c r="Q189" s="2" t="str">
        <f>INDEX(Table3[#All], MATCH(Table1[[#This Row],[Dept_Id]], Table3[[#All],[Dept_Id]], 0), 1)</f>
        <v>Production</v>
      </c>
      <c r="R189" s="22" t="str">
        <f>IF(Table1[[#This Row],[Left?]] = 1, (Table1[[#This Row],[New_Last_Date]]-Table1[[#This Row],[New_DoJ]])/365.25, "")</f>
        <v/>
      </c>
      <c r="S189" s="2" cm="1">
        <f t="array" ref="S18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89" s="2" t="str">
        <f>IF(Table1[[#This Row],[New_DoJ]] &gt;= EDATE( MAX(Table1[New_DoJ]), -24), "Yes", "No")</f>
        <v>No</v>
      </c>
    </row>
    <row r="190" spans="1:20" x14ac:dyDescent="0.3">
      <c r="A190" s="4">
        <v>259126</v>
      </c>
      <c r="B190" s="5" t="s">
        <v>538</v>
      </c>
      <c r="C190" s="5" t="s">
        <v>539</v>
      </c>
      <c r="D190" s="5" t="s">
        <v>540</v>
      </c>
      <c r="E190" s="5" t="s">
        <v>16</v>
      </c>
      <c r="F190" s="15">
        <v>31626</v>
      </c>
      <c r="G190" s="5">
        <v>2</v>
      </c>
      <c r="H190" s="5" t="s">
        <v>17</v>
      </c>
      <c r="I190" s="5">
        <v>0</v>
      </c>
      <c r="J190" s="5" t="s">
        <v>24</v>
      </c>
      <c r="K190" s="12">
        <v>70329</v>
      </c>
      <c r="L190" s="5" t="s">
        <v>105</v>
      </c>
      <c r="M190" s="6" t="s">
        <v>39</v>
      </c>
      <c r="N190" s="15">
        <v>19545</v>
      </c>
      <c r="O190" s="15">
        <v>31626</v>
      </c>
      <c r="P190" s="5"/>
      <c r="Q190" s="2" t="str">
        <f>INDEX(Table3[#All], MATCH(Table1[[#This Row],[Dept_Id]], Table3[[#All],[Dept_Id]], 0), 1)</f>
        <v>Marketing</v>
      </c>
      <c r="R190" s="22" t="str">
        <f>IF(Table1[[#This Row],[Left?]] = 1, (Table1[[#This Row],[New_Last_Date]]-Table1[[#This Row],[New_DoJ]])/365.25, "")</f>
        <v/>
      </c>
      <c r="S190" s="2" cm="1">
        <f t="array" ref="S19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90" s="2" t="str">
        <f>IF(Table1[[#This Row],[New_DoJ]] &gt;= EDATE( MAX(Table1[New_DoJ]), -24), "Yes", "No")</f>
        <v>No</v>
      </c>
    </row>
    <row r="191" spans="1:20" x14ac:dyDescent="0.3">
      <c r="A191" s="4">
        <v>10114</v>
      </c>
      <c r="B191" s="5" t="s">
        <v>541</v>
      </c>
      <c r="C191" s="5" t="s">
        <v>542</v>
      </c>
      <c r="D191" s="5" t="s">
        <v>171</v>
      </c>
      <c r="E191" s="5" t="s">
        <v>33</v>
      </c>
      <c r="F191" s="15">
        <v>33802</v>
      </c>
      <c r="G191" s="5">
        <v>6</v>
      </c>
      <c r="H191" s="5" t="s">
        <v>115</v>
      </c>
      <c r="I191" s="5">
        <v>0</v>
      </c>
      <c r="J191" s="5" t="s">
        <v>24</v>
      </c>
      <c r="K191" s="12">
        <v>49593</v>
      </c>
      <c r="L191" s="5" t="s">
        <v>55</v>
      </c>
      <c r="M191" s="6" t="s">
        <v>39</v>
      </c>
      <c r="N191" s="15">
        <v>20867</v>
      </c>
      <c r="O191" s="15">
        <v>33802</v>
      </c>
      <c r="P191" s="5"/>
      <c r="Q191" s="2" t="str">
        <f>INDEX(Table3[#All], MATCH(Table1[[#This Row],[Dept_Id]], Table3[[#All],[Dept_Id]], 0), 1)</f>
        <v>Research</v>
      </c>
      <c r="R191" s="22" t="str">
        <f>IF(Table1[[#This Row],[Left?]] = 1, (Table1[[#This Row],[New_Last_Date]]-Table1[[#This Row],[New_DoJ]])/365.25, "")</f>
        <v/>
      </c>
      <c r="S191" s="2" cm="1">
        <f t="array" ref="S19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191" s="2" t="str">
        <f>IF(Table1[[#This Row],[New_DoJ]] &gt;= EDATE( MAX(Table1[New_DoJ]), -24), "Yes", "No")</f>
        <v>No</v>
      </c>
    </row>
    <row r="192" spans="1:20" x14ac:dyDescent="0.3">
      <c r="A192" s="4">
        <v>10115</v>
      </c>
      <c r="B192" s="5" t="s">
        <v>543</v>
      </c>
      <c r="C192" s="5" t="s">
        <v>544</v>
      </c>
      <c r="D192" s="5" t="s">
        <v>545</v>
      </c>
      <c r="E192" s="5" t="s">
        <v>16</v>
      </c>
      <c r="F192" s="15">
        <v>31435</v>
      </c>
      <c r="G192" s="5">
        <v>1</v>
      </c>
      <c r="H192" s="5" t="s">
        <v>29</v>
      </c>
      <c r="I192" s="5">
        <v>0</v>
      </c>
      <c r="J192" s="5" t="s">
        <v>24</v>
      </c>
      <c r="K192" s="12">
        <v>40000</v>
      </c>
      <c r="L192" s="5" t="s">
        <v>77</v>
      </c>
      <c r="M192" s="6" t="s">
        <v>39</v>
      </c>
      <c r="N192" s="15">
        <v>23736</v>
      </c>
      <c r="O192" s="15">
        <v>31435</v>
      </c>
      <c r="P192" s="5"/>
      <c r="Q192" s="2" t="str">
        <f>INDEX(Table3[#All], MATCH(Table1[[#This Row],[Dept_Id]], Table3[[#All],[Dept_Id]], 0), 1)</f>
        <v>Customer Service</v>
      </c>
      <c r="R192" s="22" t="str">
        <f>IF(Table1[[#This Row],[Left?]] = 1, (Table1[[#This Row],[New_Last_Date]]-Table1[[#This Row],[New_DoJ]])/365.25, "")</f>
        <v/>
      </c>
      <c r="S192" s="2" cm="1">
        <f t="array" ref="S19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92" s="2" t="str">
        <f>IF(Table1[[#This Row],[New_DoJ]] &gt;= EDATE( MAX(Table1[New_DoJ]), -24), "Yes", "No")</f>
        <v>No</v>
      </c>
    </row>
    <row r="193" spans="1:20" x14ac:dyDescent="0.3">
      <c r="A193" s="4">
        <v>42625</v>
      </c>
      <c r="B193" s="5" t="s">
        <v>546</v>
      </c>
      <c r="C193" s="5" t="s">
        <v>547</v>
      </c>
      <c r="D193" s="5" t="s">
        <v>535</v>
      </c>
      <c r="E193" s="5" t="s">
        <v>33</v>
      </c>
      <c r="F193" s="15">
        <v>31560</v>
      </c>
      <c r="G193" s="5">
        <v>1</v>
      </c>
      <c r="H193" s="5" t="s">
        <v>29</v>
      </c>
      <c r="I193" s="5">
        <v>0</v>
      </c>
      <c r="J193" s="5" t="s">
        <v>24</v>
      </c>
      <c r="K193" s="12">
        <v>55095</v>
      </c>
      <c r="L193" s="5" t="s">
        <v>38</v>
      </c>
      <c r="M193" s="6" t="s">
        <v>39</v>
      </c>
      <c r="N193" s="15">
        <v>21166</v>
      </c>
      <c r="O193" s="15">
        <v>31560</v>
      </c>
      <c r="P193" s="5"/>
      <c r="Q193" s="2" t="str">
        <f>INDEX(Table3[#All], MATCH(Table1[[#This Row],[Dept_Id]], Table3[[#All],[Dept_Id]], 0), 1)</f>
        <v>Sales</v>
      </c>
      <c r="R193" s="22" t="str">
        <f>IF(Table1[[#This Row],[Left?]] = 1, (Table1[[#This Row],[New_Last_Date]]-Table1[[#This Row],[New_DoJ]])/365.25, "")</f>
        <v/>
      </c>
      <c r="S193" s="2" cm="1">
        <f t="array" ref="S19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93" s="2" t="str">
        <f>IF(Table1[[#This Row],[New_DoJ]] &gt;= EDATE( MAX(Table1[New_DoJ]), -24), "Yes", "No")</f>
        <v>No</v>
      </c>
    </row>
    <row r="194" spans="1:20" x14ac:dyDescent="0.3">
      <c r="A194" s="4">
        <v>10116</v>
      </c>
      <c r="B194" s="5" t="s">
        <v>548</v>
      </c>
      <c r="C194" s="5" t="s">
        <v>549</v>
      </c>
      <c r="D194" s="5" t="s">
        <v>550</v>
      </c>
      <c r="E194" s="5" t="s">
        <v>33</v>
      </c>
      <c r="F194" s="15">
        <v>31195</v>
      </c>
      <c r="G194" s="5">
        <v>3</v>
      </c>
      <c r="H194" s="5" t="s">
        <v>29</v>
      </c>
      <c r="I194" s="5">
        <v>0</v>
      </c>
      <c r="J194" s="5" t="s">
        <v>24</v>
      </c>
      <c r="K194" s="12">
        <v>44034</v>
      </c>
      <c r="L194" s="5" t="s">
        <v>19</v>
      </c>
      <c r="M194" s="6" t="s">
        <v>20</v>
      </c>
      <c r="N194" s="15">
        <v>20327</v>
      </c>
      <c r="O194" s="15">
        <v>31195</v>
      </c>
      <c r="P194" s="5"/>
      <c r="Q194" s="2" t="str">
        <f>INDEX(Table3[#All], MATCH(Table1[[#This Row],[Dept_Id]], Table3[[#All],[Dept_Id]], 0), 1)</f>
        <v>Development</v>
      </c>
      <c r="R194" s="22" t="str">
        <f>IF(Table1[[#This Row],[Left?]] = 1, (Table1[[#This Row],[New_Last_Date]]-Table1[[#This Row],[New_DoJ]])/365.25, "")</f>
        <v/>
      </c>
      <c r="S194" s="2" cm="1">
        <f t="array" ref="S19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94" s="2" t="str">
        <f>IF(Table1[[#This Row],[New_DoJ]] &gt;= EDATE( MAX(Table1[New_DoJ]), -24), "Yes", "No")</f>
        <v>No</v>
      </c>
    </row>
    <row r="195" spans="1:20" x14ac:dyDescent="0.3">
      <c r="A195" s="4">
        <v>10116</v>
      </c>
      <c r="B195" s="5" t="s">
        <v>548</v>
      </c>
      <c r="C195" s="5" t="s">
        <v>549</v>
      </c>
      <c r="D195" s="5" t="s">
        <v>550</v>
      </c>
      <c r="E195" s="5" t="s">
        <v>33</v>
      </c>
      <c r="F195" s="15">
        <v>31195</v>
      </c>
      <c r="G195" s="5">
        <v>3</v>
      </c>
      <c r="H195" s="5" t="s">
        <v>29</v>
      </c>
      <c r="I195" s="5">
        <v>0</v>
      </c>
      <c r="J195" s="5" t="s">
        <v>24</v>
      </c>
      <c r="K195" s="12">
        <v>44034</v>
      </c>
      <c r="L195" s="5" t="s">
        <v>55</v>
      </c>
      <c r="M195" s="6" t="s">
        <v>20</v>
      </c>
      <c r="N195" s="15">
        <v>20327</v>
      </c>
      <c r="O195" s="15">
        <v>31195</v>
      </c>
      <c r="P195" s="5"/>
      <c r="Q195" s="2" t="str">
        <f>INDEX(Table3[#All], MATCH(Table1[[#This Row],[Dept_Id]], Table3[[#All],[Dept_Id]], 0), 1)</f>
        <v>Research</v>
      </c>
      <c r="R195" s="22" t="str">
        <f>IF(Table1[[#This Row],[Left?]] = 1, (Table1[[#This Row],[New_Last_Date]]-Table1[[#This Row],[New_DoJ]])/365.25, "")</f>
        <v/>
      </c>
      <c r="S195" s="2" cm="1">
        <f t="array" ref="S19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95" s="2" t="str">
        <f>IF(Table1[[#This Row],[New_DoJ]] &gt;= EDATE( MAX(Table1[New_DoJ]), -24), "Yes", "No")</f>
        <v>No</v>
      </c>
    </row>
    <row r="196" spans="1:20" x14ac:dyDescent="0.3">
      <c r="A196" s="4">
        <v>85093</v>
      </c>
      <c r="B196" s="5" t="s">
        <v>551</v>
      </c>
      <c r="C196" s="5" t="s">
        <v>552</v>
      </c>
      <c r="D196" s="5" t="s">
        <v>553</v>
      </c>
      <c r="E196" s="5" t="s">
        <v>16</v>
      </c>
      <c r="F196" s="15">
        <v>32987</v>
      </c>
      <c r="G196" s="5">
        <v>6</v>
      </c>
      <c r="H196" s="5" t="s">
        <v>29</v>
      </c>
      <c r="I196" s="5">
        <v>0</v>
      </c>
      <c r="J196" s="5" t="s">
        <v>24</v>
      </c>
      <c r="K196" s="12">
        <v>97816</v>
      </c>
      <c r="L196" s="5" t="s">
        <v>38</v>
      </c>
      <c r="M196" s="6" t="s">
        <v>87</v>
      </c>
      <c r="N196" s="15">
        <v>21580</v>
      </c>
      <c r="O196" s="15">
        <v>32987</v>
      </c>
      <c r="P196" s="5"/>
      <c r="Q196" s="2" t="str">
        <f>INDEX(Table3[#All], MATCH(Table1[[#This Row],[Dept_Id]], Table3[[#All],[Dept_Id]], 0), 1)</f>
        <v>Sales</v>
      </c>
      <c r="R196" s="22" t="str">
        <f>IF(Table1[[#This Row],[Left?]] = 1, (Table1[[#This Row],[New_Last_Date]]-Table1[[#This Row],[New_DoJ]])/365.25, "")</f>
        <v/>
      </c>
      <c r="S196" s="2" cm="1">
        <f t="array" ref="S19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96" s="2" t="str">
        <f>IF(Table1[[#This Row],[New_DoJ]] &gt;= EDATE( MAX(Table1[New_DoJ]), -24), "Yes", "No")</f>
        <v>No</v>
      </c>
    </row>
    <row r="197" spans="1:20" x14ac:dyDescent="0.3">
      <c r="A197" s="4">
        <v>10117</v>
      </c>
      <c r="B197" s="5" t="s">
        <v>554</v>
      </c>
      <c r="C197" s="5" t="s">
        <v>555</v>
      </c>
      <c r="D197" s="5" t="s">
        <v>556</v>
      </c>
      <c r="E197" s="5" t="s">
        <v>33</v>
      </c>
      <c r="F197" s="15">
        <v>33021</v>
      </c>
      <c r="G197" s="5">
        <v>6</v>
      </c>
      <c r="H197" s="5" t="s">
        <v>29</v>
      </c>
      <c r="I197" s="5">
        <v>0</v>
      </c>
      <c r="J197" s="5" t="s">
        <v>24</v>
      </c>
      <c r="K197" s="12">
        <v>52284</v>
      </c>
      <c r="L197" s="5" t="s">
        <v>25</v>
      </c>
      <c r="M197" s="6" t="s">
        <v>20</v>
      </c>
      <c r="N197" s="15">
        <v>22578</v>
      </c>
      <c r="O197" s="15">
        <v>33021</v>
      </c>
      <c r="P197" s="5"/>
      <c r="Q197" s="2" t="str">
        <f>INDEX(Table3[#All], MATCH(Table1[[#This Row],[Dept_Id]], Table3[[#All],[Dept_Id]], 0), 1)</f>
        <v>Production</v>
      </c>
      <c r="R197" s="22" t="str">
        <f>IF(Table1[[#This Row],[Left?]] = 1, (Table1[[#This Row],[New_Last_Date]]-Table1[[#This Row],[New_DoJ]])/365.25, "")</f>
        <v/>
      </c>
      <c r="S197" s="2" cm="1">
        <f t="array" ref="S19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197" s="2" t="str">
        <f>IF(Table1[[#This Row],[New_DoJ]] &gt;= EDATE( MAX(Table1[New_DoJ]), -24), "Yes", "No")</f>
        <v>No</v>
      </c>
    </row>
    <row r="198" spans="1:20" x14ac:dyDescent="0.3">
      <c r="A198" s="4">
        <v>10118</v>
      </c>
      <c r="B198" s="5" t="s">
        <v>557</v>
      </c>
      <c r="C198" s="5" t="s">
        <v>464</v>
      </c>
      <c r="D198" s="5" t="s">
        <v>558</v>
      </c>
      <c r="E198" s="5" t="s">
        <v>33</v>
      </c>
      <c r="F198" s="15">
        <v>33129</v>
      </c>
      <c r="G198" s="5">
        <v>6</v>
      </c>
      <c r="H198" s="5" t="s">
        <v>34</v>
      </c>
      <c r="I198" s="5">
        <v>0</v>
      </c>
      <c r="J198" s="5" t="s">
        <v>24</v>
      </c>
      <c r="K198" s="12">
        <v>40000</v>
      </c>
      <c r="L198" s="5" t="s">
        <v>19</v>
      </c>
      <c r="M198" s="6" t="s">
        <v>20</v>
      </c>
      <c r="N198" s="15">
        <v>20908</v>
      </c>
      <c r="O198" s="15">
        <v>33129</v>
      </c>
      <c r="P198" s="5"/>
      <c r="Q198" s="2" t="str">
        <f>INDEX(Table3[#All], MATCH(Table1[[#This Row],[Dept_Id]], Table3[[#All],[Dept_Id]], 0), 1)</f>
        <v>Development</v>
      </c>
      <c r="R198" s="22" t="str">
        <f>IF(Table1[[#This Row],[Left?]] = 1, (Table1[[#This Row],[New_Last_Date]]-Table1[[#This Row],[New_DoJ]])/365.25, "")</f>
        <v/>
      </c>
      <c r="S198" s="2" cm="1">
        <f t="array" ref="S19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198" s="2" t="str">
        <f>IF(Table1[[#This Row],[New_DoJ]] &gt;= EDATE( MAX(Table1[New_DoJ]), -24), "Yes", "No")</f>
        <v>No</v>
      </c>
    </row>
    <row r="199" spans="1:20" x14ac:dyDescent="0.3">
      <c r="A199" s="4">
        <v>281320</v>
      </c>
      <c r="B199" s="5" t="s">
        <v>559</v>
      </c>
      <c r="C199" s="5" t="s">
        <v>476</v>
      </c>
      <c r="D199" s="5" t="s">
        <v>560</v>
      </c>
      <c r="E199" s="5" t="s">
        <v>33</v>
      </c>
      <c r="F199" s="15">
        <v>34740</v>
      </c>
      <c r="G199" s="5">
        <v>2</v>
      </c>
      <c r="H199" s="5" t="s">
        <v>17</v>
      </c>
      <c r="I199" s="5">
        <v>1</v>
      </c>
      <c r="J199" s="5" t="s">
        <v>561</v>
      </c>
      <c r="K199" s="12">
        <v>41600</v>
      </c>
      <c r="L199" s="5" t="s">
        <v>19</v>
      </c>
      <c r="M199" s="6" t="s">
        <v>20</v>
      </c>
      <c r="N199" s="15">
        <v>22264</v>
      </c>
      <c r="O199" s="15">
        <v>34740</v>
      </c>
      <c r="P199" s="15">
        <v>35478</v>
      </c>
      <c r="Q199" s="2" t="str">
        <f>INDEX(Table3[#All], MATCH(Table1[[#This Row],[Dept_Id]], Table3[[#All],[Dept_Id]], 0), 1)</f>
        <v>Development</v>
      </c>
      <c r="R199" s="22">
        <f>IF(Table1[[#This Row],[Left?]] = 1, (Table1[[#This Row],[New_Last_Date]]-Table1[[#This Row],[New_DoJ]])/365.25, "")</f>
        <v>2.020533880903491</v>
      </c>
      <c r="S199" s="2" cm="1">
        <f t="array" ref="S19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199" s="2" t="str">
        <f>IF(Table1[[#This Row],[New_DoJ]] &gt;= EDATE( MAX(Table1[New_DoJ]), -24), "Yes", "No")</f>
        <v>No</v>
      </c>
    </row>
    <row r="200" spans="1:20" x14ac:dyDescent="0.3">
      <c r="A200" s="4">
        <v>10119</v>
      </c>
      <c r="B200" s="5" t="s">
        <v>562</v>
      </c>
      <c r="C200" s="5" t="s">
        <v>158</v>
      </c>
      <c r="D200" s="5" t="s">
        <v>563</v>
      </c>
      <c r="E200" s="5" t="s">
        <v>16</v>
      </c>
      <c r="F200" s="15">
        <v>31485</v>
      </c>
      <c r="G200" s="5">
        <v>9</v>
      </c>
      <c r="H200" s="5" t="s">
        <v>17</v>
      </c>
      <c r="I200" s="5">
        <v>0</v>
      </c>
      <c r="J200" s="5" t="s">
        <v>24</v>
      </c>
      <c r="K200" s="12">
        <v>53551</v>
      </c>
      <c r="L200" s="5" t="s">
        <v>25</v>
      </c>
      <c r="M200" s="6" t="s">
        <v>50</v>
      </c>
      <c r="N200" s="15">
        <v>22251</v>
      </c>
      <c r="O200" s="15">
        <v>31485</v>
      </c>
      <c r="P200" s="5"/>
      <c r="Q200" s="2" t="str">
        <f>INDEX(Table3[#All], MATCH(Table1[[#This Row],[Dept_Id]], Table3[[#All],[Dept_Id]], 0), 1)</f>
        <v>Production</v>
      </c>
      <c r="R200" s="22" t="str">
        <f>IF(Table1[[#This Row],[Left?]] = 1, (Table1[[#This Row],[New_Last_Date]]-Table1[[#This Row],[New_DoJ]])/365.25, "")</f>
        <v/>
      </c>
      <c r="S200" s="2" cm="1">
        <f t="array" ref="S20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00" s="2" t="str">
        <f>IF(Table1[[#This Row],[New_DoJ]] &gt;= EDATE( MAX(Table1[New_DoJ]), -24), "Yes", "No")</f>
        <v>No</v>
      </c>
    </row>
    <row r="201" spans="1:20" x14ac:dyDescent="0.3">
      <c r="A201" s="4">
        <v>10120</v>
      </c>
      <c r="B201" s="5" t="s">
        <v>564</v>
      </c>
      <c r="C201" s="5" t="s">
        <v>565</v>
      </c>
      <c r="D201" s="5" t="s">
        <v>566</v>
      </c>
      <c r="E201" s="5" t="s">
        <v>33</v>
      </c>
      <c r="F201" s="15">
        <v>35252</v>
      </c>
      <c r="G201" s="5">
        <v>6</v>
      </c>
      <c r="H201" s="5" t="s">
        <v>29</v>
      </c>
      <c r="I201" s="5">
        <v>0</v>
      </c>
      <c r="J201" s="5" t="s">
        <v>24</v>
      </c>
      <c r="K201" s="12">
        <v>46292</v>
      </c>
      <c r="L201" s="5" t="s">
        <v>25</v>
      </c>
      <c r="M201" s="6" t="s">
        <v>50</v>
      </c>
      <c r="N201" s="15">
        <v>22001</v>
      </c>
      <c r="O201" s="15">
        <v>35252</v>
      </c>
      <c r="P201" s="5"/>
      <c r="Q201" s="2" t="str">
        <f>INDEX(Table3[#All], MATCH(Table1[[#This Row],[Dept_Id]], Table3[[#All],[Dept_Id]], 0), 1)</f>
        <v>Production</v>
      </c>
      <c r="R201" s="22" t="str">
        <f>IF(Table1[[#This Row],[Left?]] = 1, (Table1[[#This Row],[New_Last_Date]]-Table1[[#This Row],[New_DoJ]])/365.25, "")</f>
        <v/>
      </c>
      <c r="S201" s="2" cm="1">
        <f t="array" ref="S20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01" s="2" t="str">
        <f>IF(Table1[[#This Row],[New_DoJ]] &gt;= EDATE( MAX(Table1[New_DoJ]), -24), "Yes", "No")</f>
        <v>No</v>
      </c>
    </row>
    <row r="202" spans="1:20" x14ac:dyDescent="0.3">
      <c r="A202" s="4">
        <v>402202</v>
      </c>
      <c r="B202" s="5" t="s">
        <v>567</v>
      </c>
      <c r="C202" s="5" t="s">
        <v>568</v>
      </c>
      <c r="D202" s="5" t="s">
        <v>569</v>
      </c>
      <c r="E202" s="5" t="s">
        <v>16</v>
      </c>
      <c r="F202" s="15">
        <v>34728</v>
      </c>
      <c r="G202" s="5">
        <v>10</v>
      </c>
      <c r="H202" s="5" t="s">
        <v>29</v>
      </c>
      <c r="I202" s="5">
        <v>0</v>
      </c>
      <c r="J202" s="5" t="s">
        <v>24</v>
      </c>
      <c r="K202" s="12">
        <v>41006</v>
      </c>
      <c r="L202" s="5" t="s">
        <v>19</v>
      </c>
      <c r="M202" s="6" t="s">
        <v>129</v>
      </c>
      <c r="N202" s="15">
        <v>21837</v>
      </c>
      <c r="O202" s="15">
        <v>34728</v>
      </c>
      <c r="P202" s="5"/>
      <c r="Q202" s="2" t="str">
        <f>INDEX(Table3[#All], MATCH(Table1[[#This Row],[Dept_Id]], Table3[[#All],[Dept_Id]], 0), 1)</f>
        <v>Development</v>
      </c>
      <c r="R202" s="22" t="str">
        <f>IF(Table1[[#This Row],[Left?]] = 1, (Table1[[#This Row],[New_Last_Date]]-Table1[[#This Row],[New_DoJ]])/365.25, "")</f>
        <v/>
      </c>
      <c r="S202" s="2" cm="1">
        <f t="array" ref="S20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02" s="2" t="str">
        <f>IF(Table1[[#This Row],[New_DoJ]] &gt;= EDATE( MAX(Table1[New_DoJ]), -24), "Yes", "No")</f>
        <v>No</v>
      </c>
    </row>
    <row r="203" spans="1:20" x14ac:dyDescent="0.3">
      <c r="A203" s="4">
        <v>10121</v>
      </c>
      <c r="B203" s="5" t="s">
        <v>570</v>
      </c>
      <c r="C203" s="5" t="s">
        <v>97</v>
      </c>
      <c r="D203" s="5" t="s">
        <v>571</v>
      </c>
      <c r="E203" s="5" t="s">
        <v>16</v>
      </c>
      <c r="F203" s="15">
        <v>32631</v>
      </c>
      <c r="G203" s="5">
        <v>10</v>
      </c>
      <c r="H203" s="5" t="s">
        <v>34</v>
      </c>
      <c r="I203" s="5">
        <v>0</v>
      </c>
      <c r="J203" s="5" t="s">
        <v>24</v>
      </c>
      <c r="K203" s="12">
        <v>43772</v>
      </c>
      <c r="L203" s="5" t="s">
        <v>19</v>
      </c>
      <c r="M203" s="6" t="s">
        <v>20</v>
      </c>
      <c r="N203" s="15">
        <v>22841</v>
      </c>
      <c r="O203" s="15">
        <v>32631</v>
      </c>
      <c r="P203" s="5"/>
      <c r="Q203" s="2" t="str">
        <f>INDEX(Table3[#All], MATCH(Table1[[#This Row],[Dept_Id]], Table3[[#All],[Dept_Id]], 0), 1)</f>
        <v>Development</v>
      </c>
      <c r="R203" s="22" t="str">
        <f>IF(Table1[[#This Row],[Left?]] = 1, (Table1[[#This Row],[New_Last_Date]]-Table1[[#This Row],[New_DoJ]])/365.25, "")</f>
        <v/>
      </c>
      <c r="S203" s="2" cm="1">
        <f t="array" ref="S20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03" s="2" t="str">
        <f>IF(Table1[[#This Row],[New_DoJ]] &gt;= EDATE( MAX(Table1[New_DoJ]), -24), "Yes", "No")</f>
        <v>No</v>
      </c>
    </row>
    <row r="204" spans="1:20" x14ac:dyDescent="0.3">
      <c r="A204" s="4">
        <v>10122</v>
      </c>
      <c r="B204" s="5" t="s">
        <v>572</v>
      </c>
      <c r="C204" s="5" t="s">
        <v>573</v>
      </c>
      <c r="D204" s="5" t="s">
        <v>574</v>
      </c>
      <c r="E204" s="5" t="s">
        <v>16</v>
      </c>
      <c r="F204" s="15">
        <v>33961</v>
      </c>
      <c r="G204" s="5">
        <v>6</v>
      </c>
      <c r="H204" s="5" t="s">
        <v>29</v>
      </c>
      <c r="I204" s="5">
        <v>0</v>
      </c>
      <c r="J204" s="5" t="s">
        <v>24</v>
      </c>
      <c r="K204" s="12">
        <v>42284</v>
      </c>
      <c r="L204" s="5" t="s">
        <v>19</v>
      </c>
      <c r="M204" s="6" t="s">
        <v>129</v>
      </c>
      <c r="N204" s="15">
        <v>23761</v>
      </c>
      <c r="O204" s="15">
        <v>33961</v>
      </c>
      <c r="P204" s="5"/>
      <c r="Q204" s="2" t="str">
        <f>INDEX(Table3[#All], MATCH(Table1[[#This Row],[Dept_Id]], Table3[[#All],[Dept_Id]], 0), 1)</f>
        <v>Development</v>
      </c>
      <c r="R204" s="22" t="str">
        <f>IF(Table1[[#This Row],[Left?]] = 1, (Table1[[#This Row],[New_Last_Date]]-Table1[[#This Row],[New_DoJ]])/365.25, "")</f>
        <v/>
      </c>
      <c r="S204" s="2" cm="1">
        <f t="array" ref="S20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04" s="2" t="str">
        <f>IF(Table1[[#This Row],[New_DoJ]] &gt;= EDATE( MAX(Table1[New_DoJ]), -24), "Yes", "No")</f>
        <v>No</v>
      </c>
    </row>
    <row r="205" spans="1:20" x14ac:dyDescent="0.3">
      <c r="A205" s="4">
        <v>419277</v>
      </c>
      <c r="B205" s="5" t="s">
        <v>575</v>
      </c>
      <c r="C205" s="5" t="s">
        <v>576</v>
      </c>
      <c r="D205" s="5" t="s">
        <v>577</v>
      </c>
      <c r="E205" s="5" t="s">
        <v>16</v>
      </c>
      <c r="F205" s="15">
        <v>31766</v>
      </c>
      <c r="G205" s="5">
        <v>4</v>
      </c>
      <c r="H205" s="5" t="s">
        <v>115</v>
      </c>
      <c r="I205" s="5">
        <v>0</v>
      </c>
      <c r="J205" s="5" t="s">
        <v>24</v>
      </c>
      <c r="K205" s="12">
        <v>46833</v>
      </c>
      <c r="L205" s="5" t="s">
        <v>19</v>
      </c>
      <c r="M205" s="6" t="s">
        <v>129</v>
      </c>
      <c r="N205" s="15">
        <v>19642</v>
      </c>
      <c r="O205" s="15">
        <v>31766</v>
      </c>
      <c r="P205" s="5"/>
      <c r="Q205" s="2" t="str">
        <f>INDEX(Table3[#All], MATCH(Table1[[#This Row],[Dept_Id]], Table3[[#All],[Dept_Id]], 0), 1)</f>
        <v>Development</v>
      </c>
      <c r="R205" s="22" t="str">
        <f>IF(Table1[[#This Row],[Left?]] = 1, (Table1[[#This Row],[New_Last_Date]]-Table1[[#This Row],[New_DoJ]])/365.25, "")</f>
        <v/>
      </c>
      <c r="S205" s="2" cm="1">
        <f t="array" ref="S20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205" s="2" t="str">
        <f>IF(Table1[[#This Row],[New_DoJ]] &gt;= EDATE( MAX(Table1[New_DoJ]), -24), "Yes", "No")</f>
        <v>No</v>
      </c>
    </row>
    <row r="206" spans="1:20" x14ac:dyDescent="0.3">
      <c r="A206" s="4">
        <v>10123</v>
      </c>
      <c r="B206" s="5" t="s">
        <v>578</v>
      </c>
      <c r="C206" s="5" t="s">
        <v>579</v>
      </c>
      <c r="D206" s="5" t="s">
        <v>580</v>
      </c>
      <c r="E206" s="5" t="s">
        <v>16</v>
      </c>
      <c r="F206" s="15">
        <v>33984</v>
      </c>
      <c r="G206" s="5">
        <v>1</v>
      </c>
      <c r="H206" s="5" t="s">
        <v>29</v>
      </c>
      <c r="I206" s="5">
        <v>0</v>
      </c>
      <c r="J206" s="5" t="s">
        <v>24</v>
      </c>
      <c r="K206" s="12">
        <v>71524</v>
      </c>
      <c r="L206" s="5" t="s">
        <v>25</v>
      </c>
      <c r="M206" s="6" t="s">
        <v>50</v>
      </c>
      <c r="N206" s="15">
        <v>22778</v>
      </c>
      <c r="O206" s="15">
        <v>33984</v>
      </c>
      <c r="P206" s="5"/>
      <c r="Q206" s="2" t="str">
        <f>INDEX(Table3[#All], MATCH(Table1[[#This Row],[Dept_Id]], Table3[[#All],[Dept_Id]], 0), 1)</f>
        <v>Production</v>
      </c>
      <c r="R206" s="22" t="str">
        <f>IF(Table1[[#This Row],[Left?]] = 1, (Table1[[#This Row],[New_Last_Date]]-Table1[[#This Row],[New_DoJ]])/365.25, "")</f>
        <v/>
      </c>
      <c r="S206" s="2" cm="1">
        <f t="array" ref="S20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06" s="2" t="str">
        <f>IF(Table1[[#This Row],[New_DoJ]] &gt;= EDATE( MAX(Table1[New_DoJ]), -24), "Yes", "No")</f>
        <v>No</v>
      </c>
    </row>
    <row r="207" spans="1:20" x14ac:dyDescent="0.3">
      <c r="A207" s="4">
        <v>10124</v>
      </c>
      <c r="B207" s="5" t="s">
        <v>581</v>
      </c>
      <c r="C207" s="5" t="s">
        <v>582</v>
      </c>
      <c r="D207" s="5" t="s">
        <v>583</v>
      </c>
      <c r="E207" s="5" t="s">
        <v>16</v>
      </c>
      <c r="F207" s="15">
        <v>33486</v>
      </c>
      <c r="G207" s="5">
        <v>8</v>
      </c>
      <c r="H207" s="5" t="s">
        <v>17</v>
      </c>
      <c r="I207" s="5">
        <v>0</v>
      </c>
      <c r="J207" s="5" t="s">
        <v>24</v>
      </c>
      <c r="K207" s="12">
        <v>40583</v>
      </c>
      <c r="L207" s="5" t="s">
        <v>25</v>
      </c>
      <c r="M207" s="6" t="s">
        <v>20</v>
      </c>
      <c r="N207" s="15">
        <v>22789</v>
      </c>
      <c r="O207" s="15">
        <v>33486</v>
      </c>
      <c r="P207" s="5"/>
      <c r="Q207" s="2" t="str">
        <f>INDEX(Table3[#All], MATCH(Table1[[#This Row],[Dept_Id]], Table3[[#All],[Dept_Id]], 0), 1)</f>
        <v>Production</v>
      </c>
      <c r="R207" s="22" t="str">
        <f>IF(Table1[[#This Row],[Left?]] = 1, (Table1[[#This Row],[New_Last_Date]]-Table1[[#This Row],[New_DoJ]])/365.25, "")</f>
        <v/>
      </c>
      <c r="S207" s="2" cm="1">
        <f t="array" ref="S20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07" s="2" t="str">
        <f>IF(Table1[[#This Row],[New_DoJ]] &gt;= EDATE( MAX(Table1[New_DoJ]), -24), "Yes", "No")</f>
        <v>No</v>
      </c>
    </row>
    <row r="208" spans="1:20" x14ac:dyDescent="0.3">
      <c r="A208" s="4">
        <v>10124</v>
      </c>
      <c r="B208" s="5" t="s">
        <v>581</v>
      </c>
      <c r="C208" s="5" t="s">
        <v>582</v>
      </c>
      <c r="D208" s="5" t="s">
        <v>583</v>
      </c>
      <c r="E208" s="5" t="s">
        <v>16</v>
      </c>
      <c r="F208" s="15">
        <v>33486</v>
      </c>
      <c r="G208" s="5">
        <v>8</v>
      </c>
      <c r="H208" s="5" t="s">
        <v>17</v>
      </c>
      <c r="I208" s="5">
        <v>0</v>
      </c>
      <c r="J208" s="5" t="s">
        <v>24</v>
      </c>
      <c r="K208" s="12">
        <v>40583</v>
      </c>
      <c r="L208" s="5" t="s">
        <v>63</v>
      </c>
      <c r="M208" s="6" t="s">
        <v>20</v>
      </c>
      <c r="N208" s="15">
        <v>22789</v>
      </c>
      <c r="O208" s="15">
        <v>33486</v>
      </c>
      <c r="P208" s="5"/>
      <c r="Q208" s="2" t="str">
        <f>INDEX(Table3[#All], MATCH(Table1[[#This Row],[Dept_Id]], Table3[[#All],[Dept_Id]], 0), 1)</f>
        <v>Quality Management</v>
      </c>
      <c r="R208" s="22" t="str">
        <f>IF(Table1[[#This Row],[Left?]] = 1, (Table1[[#This Row],[New_Last_Date]]-Table1[[#This Row],[New_DoJ]])/365.25, "")</f>
        <v/>
      </c>
      <c r="S208" s="2" cm="1">
        <f t="array" ref="S20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08" s="2" t="str">
        <f>IF(Table1[[#This Row],[New_DoJ]] &gt;= EDATE( MAX(Table1[New_DoJ]), -24), "Yes", "No")</f>
        <v>No</v>
      </c>
    </row>
    <row r="209" spans="1:20" x14ac:dyDescent="0.3">
      <c r="A209" s="4">
        <v>451259</v>
      </c>
      <c r="B209" s="5" t="s">
        <v>584</v>
      </c>
      <c r="C209" s="5" t="s">
        <v>585</v>
      </c>
      <c r="D209" s="5" t="s">
        <v>586</v>
      </c>
      <c r="E209" s="5" t="s">
        <v>16</v>
      </c>
      <c r="F209" s="15">
        <v>31628</v>
      </c>
      <c r="G209" s="5">
        <v>10</v>
      </c>
      <c r="H209" s="5" t="s">
        <v>34</v>
      </c>
      <c r="I209" s="5">
        <v>0</v>
      </c>
      <c r="J209" s="5" t="s">
        <v>24</v>
      </c>
      <c r="K209" s="12">
        <v>46138</v>
      </c>
      <c r="L209" s="5" t="s">
        <v>43</v>
      </c>
      <c r="M209" s="6" t="s">
        <v>39</v>
      </c>
      <c r="N209" s="15">
        <v>20716</v>
      </c>
      <c r="O209" s="15">
        <v>31628</v>
      </c>
      <c r="P209" s="5"/>
      <c r="Q209" s="2" t="str">
        <f>INDEX(Table3[#All], MATCH(Table1[[#This Row],[Dept_Id]], Table3[[#All],[Dept_Id]], 0), 1)</f>
        <v>Human Resources</v>
      </c>
      <c r="R209" s="22" t="str">
        <f>IF(Table1[[#This Row],[Left?]] = 1, (Table1[[#This Row],[New_Last_Date]]-Table1[[#This Row],[New_DoJ]])/365.25, "")</f>
        <v/>
      </c>
      <c r="S209" s="2" cm="1">
        <f t="array" ref="S20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09" s="2" t="str">
        <f>IF(Table1[[#This Row],[New_DoJ]] &gt;= EDATE( MAX(Table1[New_DoJ]), -24), "Yes", "No")</f>
        <v>No</v>
      </c>
    </row>
    <row r="210" spans="1:20" x14ac:dyDescent="0.3">
      <c r="A210" s="4">
        <v>10125</v>
      </c>
      <c r="B210" s="5" t="s">
        <v>587</v>
      </c>
      <c r="C210" s="5" t="s">
        <v>588</v>
      </c>
      <c r="D210" s="5" t="s">
        <v>589</v>
      </c>
      <c r="E210" s="5" t="s">
        <v>33</v>
      </c>
      <c r="F210" s="15">
        <v>33172</v>
      </c>
      <c r="G210" s="5">
        <v>10</v>
      </c>
      <c r="H210" s="5" t="s">
        <v>17</v>
      </c>
      <c r="I210" s="5">
        <v>0</v>
      </c>
      <c r="J210" s="5" t="s">
        <v>24</v>
      </c>
      <c r="K210" s="12">
        <v>58249</v>
      </c>
      <c r="L210" s="5" t="s">
        <v>38</v>
      </c>
      <c r="M210" s="6" t="s">
        <v>39</v>
      </c>
      <c r="N210" s="15">
        <v>21076</v>
      </c>
      <c r="O210" s="15">
        <v>33172</v>
      </c>
      <c r="P210" s="5"/>
      <c r="Q210" s="2" t="str">
        <f>INDEX(Table3[#All], MATCH(Table1[[#This Row],[Dept_Id]], Table3[[#All],[Dept_Id]], 0), 1)</f>
        <v>Sales</v>
      </c>
      <c r="R210" s="22" t="str">
        <f>IF(Table1[[#This Row],[Left?]] = 1, (Table1[[#This Row],[New_Last_Date]]-Table1[[#This Row],[New_DoJ]])/365.25, "")</f>
        <v/>
      </c>
      <c r="S210" s="2" cm="1">
        <f t="array" ref="S21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10" s="2" t="str">
        <f>IF(Table1[[#This Row],[New_DoJ]] &gt;= EDATE( MAX(Table1[New_DoJ]), -24), "Yes", "No")</f>
        <v>No</v>
      </c>
    </row>
    <row r="211" spans="1:20" x14ac:dyDescent="0.3">
      <c r="A211" s="4">
        <v>225842</v>
      </c>
      <c r="B211" s="5" t="s">
        <v>590</v>
      </c>
      <c r="C211" s="5" t="s">
        <v>591</v>
      </c>
      <c r="D211" s="5" t="s">
        <v>592</v>
      </c>
      <c r="E211" s="5" t="s">
        <v>16</v>
      </c>
      <c r="F211" s="15">
        <v>31562</v>
      </c>
      <c r="G211" s="5">
        <v>3</v>
      </c>
      <c r="H211" s="5" t="s">
        <v>34</v>
      </c>
      <c r="I211" s="5">
        <v>0</v>
      </c>
      <c r="J211" s="5" t="s">
        <v>24</v>
      </c>
      <c r="K211" s="12">
        <v>40000</v>
      </c>
      <c r="L211" s="5" t="s">
        <v>19</v>
      </c>
      <c r="M211" s="6" t="s">
        <v>50</v>
      </c>
      <c r="N211" s="15">
        <v>19066</v>
      </c>
      <c r="O211" s="15">
        <v>31562</v>
      </c>
      <c r="P211" s="5"/>
      <c r="Q211" s="2" t="str">
        <f>INDEX(Table3[#All], MATCH(Table1[[#This Row],[Dept_Id]], Table3[[#All],[Dept_Id]], 0), 1)</f>
        <v>Development</v>
      </c>
      <c r="R211" s="22" t="str">
        <f>IF(Table1[[#This Row],[Left?]] = 1, (Table1[[#This Row],[New_Last_Date]]-Table1[[#This Row],[New_DoJ]])/365.25, "")</f>
        <v/>
      </c>
      <c r="S211" s="2" cm="1">
        <f t="array" ref="S21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11" s="2" t="str">
        <f>IF(Table1[[#This Row],[New_DoJ]] &gt;= EDATE( MAX(Table1[New_DoJ]), -24), "Yes", "No")</f>
        <v>No</v>
      </c>
    </row>
    <row r="212" spans="1:20" x14ac:dyDescent="0.3">
      <c r="A212" s="4">
        <v>10126</v>
      </c>
      <c r="B212" s="5" t="s">
        <v>593</v>
      </c>
      <c r="C212" s="5" t="s">
        <v>594</v>
      </c>
      <c r="D212" s="5" t="s">
        <v>595</v>
      </c>
      <c r="E212" s="5" t="s">
        <v>16</v>
      </c>
      <c r="F212" s="15">
        <v>31298</v>
      </c>
      <c r="G212" s="5">
        <v>10</v>
      </c>
      <c r="H212" s="5" t="s">
        <v>29</v>
      </c>
      <c r="I212" s="5">
        <v>0</v>
      </c>
      <c r="J212" s="5" t="s">
        <v>24</v>
      </c>
      <c r="K212" s="12">
        <v>40000</v>
      </c>
      <c r="L212" s="5" t="s">
        <v>77</v>
      </c>
      <c r="M212" s="6" t="s">
        <v>39</v>
      </c>
      <c r="N212" s="15">
        <v>19943</v>
      </c>
      <c r="O212" s="15">
        <v>31298</v>
      </c>
      <c r="P212" s="5"/>
      <c r="Q212" s="2" t="str">
        <f>INDEX(Table3[#All], MATCH(Table1[[#This Row],[Dept_Id]], Table3[[#All],[Dept_Id]], 0), 1)</f>
        <v>Customer Service</v>
      </c>
      <c r="R212" s="22" t="str">
        <f>IF(Table1[[#This Row],[Left?]] = 1, (Table1[[#This Row],[New_Last_Date]]-Table1[[#This Row],[New_DoJ]])/365.25, "")</f>
        <v/>
      </c>
      <c r="S212" s="2" cm="1">
        <f t="array" ref="S21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12" s="2" t="str">
        <f>IF(Table1[[#This Row],[New_DoJ]] &gt;= EDATE( MAX(Table1[New_DoJ]), -24), "Yes", "No")</f>
        <v>No</v>
      </c>
    </row>
    <row r="213" spans="1:20" x14ac:dyDescent="0.3">
      <c r="A213" s="4">
        <v>10127</v>
      </c>
      <c r="B213" s="5" t="s">
        <v>596</v>
      </c>
      <c r="C213" s="5" t="s">
        <v>597</v>
      </c>
      <c r="D213" s="5" t="s">
        <v>598</v>
      </c>
      <c r="E213" s="5" t="s">
        <v>33</v>
      </c>
      <c r="F213" s="15">
        <v>32522</v>
      </c>
      <c r="G213" s="5">
        <v>3</v>
      </c>
      <c r="H213" s="5" t="s">
        <v>29</v>
      </c>
      <c r="I213" s="5">
        <v>1</v>
      </c>
      <c r="J213" s="5" t="s">
        <v>599</v>
      </c>
      <c r="K213" s="12">
        <v>40000</v>
      </c>
      <c r="L213" s="5" t="s">
        <v>19</v>
      </c>
      <c r="M213" s="6" t="s">
        <v>20</v>
      </c>
      <c r="N213" s="15">
        <v>19048</v>
      </c>
      <c r="O213" s="15">
        <v>32522</v>
      </c>
      <c r="P213" s="15">
        <v>34851</v>
      </c>
      <c r="Q213" s="2" t="str">
        <f>INDEX(Table3[#All], MATCH(Table1[[#This Row],[Dept_Id]], Table3[[#All],[Dept_Id]], 0), 1)</f>
        <v>Development</v>
      </c>
      <c r="R213" s="22">
        <f>IF(Table1[[#This Row],[Left?]] = 1, (Table1[[#This Row],[New_Last_Date]]-Table1[[#This Row],[New_DoJ]])/365.25, "")</f>
        <v>6.3764544832306642</v>
      </c>
      <c r="S213" s="2" cm="1">
        <f t="array" ref="S21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13" s="2" t="str">
        <f>IF(Table1[[#This Row],[New_DoJ]] &gt;= EDATE( MAX(Table1[New_DoJ]), -24), "Yes", "No")</f>
        <v>No</v>
      </c>
    </row>
    <row r="214" spans="1:20" x14ac:dyDescent="0.3">
      <c r="A214" s="4">
        <v>62038</v>
      </c>
      <c r="B214" s="5" t="s">
        <v>600</v>
      </c>
      <c r="C214" s="5" t="s">
        <v>601</v>
      </c>
      <c r="D214" s="5" t="s">
        <v>602</v>
      </c>
      <c r="E214" s="5" t="s">
        <v>33</v>
      </c>
      <c r="F214" s="15">
        <v>32023</v>
      </c>
      <c r="G214" s="5">
        <v>1</v>
      </c>
      <c r="H214" s="5" t="s">
        <v>34</v>
      </c>
      <c r="I214" s="5">
        <v>1</v>
      </c>
      <c r="J214" s="5" t="s">
        <v>603</v>
      </c>
      <c r="K214" s="12">
        <v>60105</v>
      </c>
      <c r="L214" s="5" t="s">
        <v>55</v>
      </c>
      <c r="M214" s="6" t="s">
        <v>39</v>
      </c>
      <c r="N214" s="15">
        <v>21820</v>
      </c>
      <c r="O214" s="15">
        <v>32023</v>
      </c>
      <c r="P214" s="15">
        <v>35538</v>
      </c>
      <c r="Q214" s="2" t="str">
        <f>INDEX(Table3[#All], MATCH(Table1[[#This Row],[Dept_Id]], Table3[[#All],[Dept_Id]], 0), 1)</f>
        <v>Research</v>
      </c>
      <c r="R214" s="22">
        <f>IF(Table1[[#This Row],[Left?]] = 1, (Table1[[#This Row],[New_Last_Date]]-Table1[[#This Row],[New_DoJ]])/365.25, "")</f>
        <v>9.6235455167693367</v>
      </c>
      <c r="S214" s="2" cm="1">
        <f t="array" ref="S21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14" s="2" t="str">
        <f>IF(Table1[[#This Row],[New_DoJ]] &gt;= EDATE( MAX(Table1[New_DoJ]), -24), "Yes", "No")</f>
        <v>No</v>
      </c>
    </row>
    <row r="215" spans="1:20" x14ac:dyDescent="0.3">
      <c r="A215" s="4">
        <v>10128</v>
      </c>
      <c r="B215" s="5" t="s">
        <v>604</v>
      </c>
      <c r="C215" s="5" t="s">
        <v>605</v>
      </c>
      <c r="D215" s="5" t="s">
        <v>606</v>
      </c>
      <c r="E215" s="5" t="s">
        <v>33</v>
      </c>
      <c r="F215" s="15">
        <v>32300</v>
      </c>
      <c r="G215" s="5">
        <v>5</v>
      </c>
      <c r="H215" s="5" t="s">
        <v>17</v>
      </c>
      <c r="I215" s="5">
        <v>0</v>
      </c>
      <c r="J215" s="5" t="s">
        <v>24</v>
      </c>
      <c r="K215" s="12">
        <v>40000</v>
      </c>
      <c r="L215" s="5" t="s">
        <v>77</v>
      </c>
      <c r="M215" s="6" t="s">
        <v>39</v>
      </c>
      <c r="N215" s="15">
        <v>21231</v>
      </c>
      <c r="O215" s="15">
        <v>32300</v>
      </c>
      <c r="P215" s="5"/>
      <c r="Q215" s="2" t="str">
        <f>INDEX(Table3[#All], MATCH(Table1[[#This Row],[Dept_Id]], Table3[[#All],[Dept_Id]], 0), 1)</f>
        <v>Customer Service</v>
      </c>
      <c r="R215" s="22" t="str">
        <f>IF(Table1[[#This Row],[Left?]] = 1, (Table1[[#This Row],[New_Last_Date]]-Table1[[#This Row],[New_DoJ]])/365.25, "")</f>
        <v/>
      </c>
      <c r="S215" s="2" cm="1">
        <f t="array" ref="S21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15" s="2" t="str">
        <f>IF(Table1[[#This Row],[New_DoJ]] &gt;= EDATE( MAX(Table1[New_DoJ]), -24), "Yes", "No")</f>
        <v>No</v>
      </c>
    </row>
    <row r="216" spans="1:20" x14ac:dyDescent="0.3">
      <c r="A216" s="4">
        <v>10129</v>
      </c>
      <c r="B216" s="5" t="s">
        <v>607</v>
      </c>
      <c r="C216" s="5" t="s">
        <v>565</v>
      </c>
      <c r="D216" s="5" t="s">
        <v>608</v>
      </c>
      <c r="E216" s="5" t="s">
        <v>16</v>
      </c>
      <c r="F216" s="15">
        <v>31391</v>
      </c>
      <c r="G216" s="5">
        <v>9</v>
      </c>
      <c r="H216" s="5" t="s">
        <v>34</v>
      </c>
      <c r="I216" s="5">
        <v>0</v>
      </c>
      <c r="J216" s="5" t="s">
        <v>24</v>
      </c>
      <c r="K216" s="12">
        <v>40000</v>
      </c>
      <c r="L216" s="5" t="s">
        <v>19</v>
      </c>
      <c r="M216" s="6" t="s">
        <v>129</v>
      </c>
      <c r="N216" s="15">
        <v>20425</v>
      </c>
      <c r="O216" s="15">
        <v>31391</v>
      </c>
      <c r="P216" s="5"/>
      <c r="Q216" s="2" t="str">
        <f>INDEX(Table3[#All], MATCH(Table1[[#This Row],[Dept_Id]], Table3[[#All],[Dept_Id]], 0), 1)</f>
        <v>Development</v>
      </c>
      <c r="R216" s="22" t="str">
        <f>IF(Table1[[#This Row],[Left?]] = 1, (Table1[[#This Row],[New_Last_Date]]-Table1[[#This Row],[New_DoJ]])/365.25, "")</f>
        <v/>
      </c>
      <c r="S216" s="2" cm="1">
        <f t="array" ref="S21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16" s="2" t="str">
        <f>IF(Table1[[#This Row],[New_DoJ]] &gt;= EDATE( MAX(Table1[New_DoJ]), -24), "Yes", "No")</f>
        <v>No</v>
      </c>
    </row>
    <row r="217" spans="1:20" x14ac:dyDescent="0.3">
      <c r="A217" s="4">
        <v>256701</v>
      </c>
      <c r="B217" s="5" t="s">
        <v>609</v>
      </c>
      <c r="C217" s="5" t="s">
        <v>610</v>
      </c>
      <c r="D217" s="5" t="s">
        <v>611</v>
      </c>
      <c r="E217" s="5" t="s">
        <v>33</v>
      </c>
      <c r="F217" s="15">
        <v>32334</v>
      </c>
      <c r="G217" s="5">
        <v>1</v>
      </c>
      <c r="H217" s="5" t="s">
        <v>115</v>
      </c>
      <c r="I217" s="5">
        <v>0</v>
      </c>
      <c r="J217" s="5" t="s">
        <v>24</v>
      </c>
      <c r="K217" s="12">
        <v>40000</v>
      </c>
      <c r="L217" s="5" t="s">
        <v>19</v>
      </c>
      <c r="M217" s="6" t="s">
        <v>20</v>
      </c>
      <c r="N217" s="15">
        <v>19322</v>
      </c>
      <c r="O217" s="15">
        <v>32334</v>
      </c>
      <c r="P217" s="5"/>
      <c r="Q217" s="2" t="str">
        <f>INDEX(Table3[#All], MATCH(Table1[[#This Row],[Dept_Id]], Table3[[#All],[Dept_Id]], 0), 1)</f>
        <v>Development</v>
      </c>
      <c r="R217" s="22" t="str">
        <f>IF(Table1[[#This Row],[Left?]] = 1, (Table1[[#This Row],[New_Last_Date]]-Table1[[#This Row],[New_DoJ]])/365.25, "")</f>
        <v/>
      </c>
      <c r="S217" s="2" cm="1">
        <f t="array" ref="S21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217" s="2" t="str">
        <f>IF(Table1[[#This Row],[New_DoJ]] &gt;= EDATE( MAX(Table1[New_DoJ]), -24), "Yes", "No")</f>
        <v>No</v>
      </c>
    </row>
    <row r="218" spans="1:20" x14ac:dyDescent="0.3">
      <c r="A218" s="4">
        <v>10130</v>
      </c>
      <c r="B218" s="5" t="s">
        <v>612</v>
      </c>
      <c r="C218" s="5" t="s">
        <v>613</v>
      </c>
      <c r="D218" s="5" t="s">
        <v>614</v>
      </c>
      <c r="E218" s="5" t="s">
        <v>16</v>
      </c>
      <c r="F218" s="15">
        <v>32315</v>
      </c>
      <c r="G218" s="5">
        <v>2</v>
      </c>
      <c r="H218" s="5" t="s">
        <v>34</v>
      </c>
      <c r="I218" s="5">
        <v>0</v>
      </c>
      <c r="J218" s="5" t="s">
        <v>24</v>
      </c>
      <c r="K218" s="12">
        <v>40000</v>
      </c>
      <c r="L218" s="5" t="s">
        <v>25</v>
      </c>
      <c r="M218" s="6" t="s">
        <v>20</v>
      </c>
      <c r="N218" s="15">
        <v>20206</v>
      </c>
      <c r="O218" s="15">
        <v>32315</v>
      </c>
      <c r="P218" s="5"/>
      <c r="Q218" s="2" t="str">
        <f>INDEX(Table3[#All], MATCH(Table1[[#This Row],[Dept_Id]], Table3[[#All],[Dept_Id]], 0), 1)</f>
        <v>Production</v>
      </c>
      <c r="R218" s="22" t="str">
        <f>IF(Table1[[#This Row],[Left?]] = 1, (Table1[[#This Row],[New_Last_Date]]-Table1[[#This Row],[New_DoJ]])/365.25, "")</f>
        <v/>
      </c>
      <c r="S218" s="2" cm="1">
        <f t="array" ref="S21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18" s="2" t="str">
        <f>IF(Table1[[#This Row],[New_DoJ]] &gt;= EDATE( MAX(Table1[New_DoJ]), -24), "Yes", "No")</f>
        <v>No</v>
      </c>
    </row>
    <row r="219" spans="1:20" x14ac:dyDescent="0.3">
      <c r="A219" s="4">
        <v>10131</v>
      </c>
      <c r="B219" s="5" t="s">
        <v>615</v>
      </c>
      <c r="C219" s="5" t="s">
        <v>616</v>
      </c>
      <c r="D219" s="5" t="s">
        <v>617</v>
      </c>
      <c r="E219" s="5" t="s">
        <v>16</v>
      </c>
      <c r="F219" s="15">
        <v>34655</v>
      </c>
      <c r="G219" s="5">
        <v>8</v>
      </c>
      <c r="H219" s="5" t="s">
        <v>29</v>
      </c>
      <c r="I219" s="5">
        <v>0</v>
      </c>
      <c r="J219" s="5" t="s">
        <v>24</v>
      </c>
      <c r="K219" s="12">
        <v>48475</v>
      </c>
      <c r="L219" s="5" t="s">
        <v>25</v>
      </c>
      <c r="M219" s="6" t="s">
        <v>50</v>
      </c>
      <c r="N219" s="15">
        <v>19043</v>
      </c>
      <c r="O219" s="15">
        <v>34655</v>
      </c>
      <c r="P219" s="5"/>
      <c r="Q219" s="2" t="str">
        <f>INDEX(Table3[#All], MATCH(Table1[[#This Row],[Dept_Id]], Table3[[#All],[Dept_Id]], 0), 1)</f>
        <v>Production</v>
      </c>
      <c r="R219" s="22" t="str">
        <f>IF(Table1[[#This Row],[Left?]] = 1, (Table1[[#This Row],[New_Last_Date]]-Table1[[#This Row],[New_DoJ]])/365.25, "")</f>
        <v/>
      </c>
      <c r="S219" s="2" cm="1">
        <f t="array" ref="S21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19" s="2" t="str">
        <f>IF(Table1[[#This Row],[New_DoJ]] &gt;= EDATE( MAX(Table1[New_DoJ]), -24), "Yes", "No")</f>
        <v>No</v>
      </c>
    </row>
    <row r="220" spans="1:20" x14ac:dyDescent="0.3">
      <c r="A220" s="4">
        <v>205366</v>
      </c>
      <c r="B220" s="5" t="s">
        <v>618</v>
      </c>
      <c r="C220" s="5" t="s">
        <v>619</v>
      </c>
      <c r="D220" s="5" t="s">
        <v>620</v>
      </c>
      <c r="E220" s="5" t="s">
        <v>33</v>
      </c>
      <c r="F220" s="15">
        <v>31882</v>
      </c>
      <c r="G220" s="5">
        <v>9</v>
      </c>
      <c r="H220" s="5" t="s">
        <v>29</v>
      </c>
      <c r="I220" s="5">
        <v>0</v>
      </c>
      <c r="J220" s="5" t="s">
        <v>24</v>
      </c>
      <c r="K220" s="12">
        <v>80518</v>
      </c>
      <c r="L220" s="5" t="s">
        <v>38</v>
      </c>
      <c r="M220" s="6" t="s">
        <v>87</v>
      </c>
      <c r="N220" s="15">
        <v>23428</v>
      </c>
      <c r="O220" s="15">
        <v>31882</v>
      </c>
      <c r="P220" s="5"/>
      <c r="Q220" s="2" t="str">
        <f>INDEX(Table3[#All], MATCH(Table1[[#This Row],[Dept_Id]], Table3[[#All],[Dept_Id]], 0), 1)</f>
        <v>Sales</v>
      </c>
      <c r="R220" s="22" t="str">
        <f>IF(Table1[[#This Row],[Left?]] = 1, (Table1[[#This Row],[New_Last_Date]]-Table1[[#This Row],[New_DoJ]])/365.25, "")</f>
        <v/>
      </c>
      <c r="S220" s="2" cm="1">
        <f t="array" ref="S22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20" s="2" t="str">
        <f>IF(Table1[[#This Row],[New_DoJ]] &gt;= EDATE( MAX(Table1[New_DoJ]), -24), "Yes", "No")</f>
        <v>No</v>
      </c>
    </row>
    <row r="221" spans="1:20" x14ac:dyDescent="0.3">
      <c r="A221" s="4">
        <v>205366</v>
      </c>
      <c r="B221" s="5" t="s">
        <v>618</v>
      </c>
      <c r="C221" s="5" t="s">
        <v>619</v>
      </c>
      <c r="D221" s="5" t="s">
        <v>620</v>
      </c>
      <c r="E221" s="5" t="s">
        <v>33</v>
      </c>
      <c r="F221" s="15">
        <v>31882</v>
      </c>
      <c r="G221" s="5">
        <v>9</v>
      </c>
      <c r="H221" s="5" t="s">
        <v>29</v>
      </c>
      <c r="I221" s="5">
        <v>0</v>
      </c>
      <c r="J221" s="5" t="s">
        <v>24</v>
      </c>
      <c r="K221" s="12">
        <v>80518</v>
      </c>
      <c r="L221" s="5" t="s">
        <v>77</v>
      </c>
      <c r="M221" s="6" t="s">
        <v>87</v>
      </c>
      <c r="N221" s="15">
        <v>23428</v>
      </c>
      <c r="O221" s="15">
        <v>31882</v>
      </c>
      <c r="P221" s="5"/>
      <c r="Q221" s="2" t="str">
        <f>INDEX(Table3[#All], MATCH(Table1[[#This Row],[Dept_Id]], Table3[[#All],[Dept_Id]], 0), 1)</f>
        <v>Customer Service</v>
      </c>
      <c r="R221" s="22" t="str">
        <f>IF(Table1[[#This Row],[Left?]] = 1, (Table1[[#This Row],[New_Last_Date]]-Table1[[#This Row],[New_DoJ]])/365.25, "")</f>
        <v/>
      </c>
      <c r="S221" s="2" cm="1">
        <f t="array" ref="S22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21" s="2" t="str">
        <f>IF(Table1[[#This Row],[New_DoJ]] &gt;= EDATE( MAX(Table1[New_DoJ]), -24), "Yes", "No")</f>
        <v>No</v>
      </c>
    </row>
    <row r="222" spans="1:20" x14ac:dyDescent="0.3">
      <c r="A222" s="4">
        <v>10132</v>
      </c>
      <c r="B222" s="5" t="s">
        <v>621</v>
      </c>
      <c r="C222" s="5" t="s">
        <v>622</v>
      </c>
      <c r="D222" s="5" t="s">
        <v>623</v>
      </c>
      <c r="E222" s="5" t="s">
        <v>16</v>
      </c>
      <c r="F222" s="15">
        <v>34637</v>
      </c>
      <c r="G222" s="5">
        <v>6</v>
      </c>
      <c r="H222" s="5" t="s">
        <v>29</v>
      </c>
      <c r="I222" s="5">
        <v>0</v>
      </c>
      <c r="J222" s="5" t="s">
        <v>24</v>
      </c>
      <c r="K222" s="12">
        <v>61590</v>
      </c>
      <c r="L222" s="5" t="s">
        <v>92</v>
      </c>
      <c r="M222" s="6" t="s">
        <v>39</v>
      </c>
      <c r="N222" s="15">
        <v>20804</v>
      </c>
      <c r="O222" s="15">
        <v>34637</v>
      </c>
      <c r="P222" s="5"/>
      <c r="Q222" s="2" t="str">
        <f>INDEX(Table3[#All], MATCH(Table1[[#This Row],[Dept_Id]], Table3[[#All],[Dept_Id]], 0), 1)</f>
        <v>Finance</v>
      </c>
      <c r="R222" s="22" t="str">
        <f>IF(Table1[[#This Row],[Left?]] = 1, (Table1[[#This Row],[New_Last_Date]]-Table1[[#This Row],[New_DoJ]])/365.25, "")</f>
        <v/>
      </c>
      <c r="S222" s="2" cm="1">
        <f t="array" ref="S22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22" s="2" t="str">
        <f>IF(Table1[[#This Row],[New_DoJ]] &gt;= EDATE( MAX(Table1[New_DoJ]), -24), "Yes", "No")</f>
        <v>No</v>
      </c>
    </row>
    <row r="223" spans="1:20" x14ac:dyDescent="0.3">
      <c r="A223" s="4">
        <v>10133</v>
      </c>
      <c r="B223" s="5" t="s">
        <v>624</v>
      </c>
      <c r="C223" s="5" t="s">
        <v>625</v>
      </c>
      <c r="D223" s="5" t="s">
        <v>626</v>
      </c>
      <c r="E223" s="5" t="s">
        <v>16</v>
      </c>
      <c r="F223" s="15">
        <v>31396</v>
      </c>
      <c r="G223" s="5">
        <v>7</v>
      </c>
      <c r="H223" s="5" t="s">
        <v>34</v>
      </c>
      <c r="I223" s="5">
        <v>0</v>
      </c>
      <c r="J223" s="5" t="s">
        <v>24</v>
      </c>
      <c r="K223" s="12">
        <v>40000</v>
      </c>
      <c r="L223" s="5" t="s">
        <v>25</v>
      </c>
      <c r="M223" s="6" t="s">
        <v>20</v>
      </c>
      <c r="N223" s="15">
        <v>23357</v>
      </c>
      <c r="O223" s="15">
        <v>31396</v>
      </c>
      <c r="P223" s="5"/>
      <c r="Q223" s="2" t="str">
        <f>INDEX(Table3[#All], MATCH(Table1[[#This Row],[Dept_Id]], Table3[[#All],[Dept_Id]], 0), 1)</f>
        <v>Production</v>
      </c>
      <c r="R223" s="22" t="str">
        <f>IF(Table1[[#This Row],[Left?]] = 1, (Table1[[#This Row],[New_Last_Date]]-Table1[[#This Row],[New_DoJ]])/365.25, "")</f>
        <v/>
      </c>
      <c r="S223" s="2" cm="1">
        <f t="array" ref="S22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23" s="2" t="str">
        <f>IF(Table1[[#This Row],[New_DoJ]] &gt;= EDATE( MAX(Table1[New_DoJ]), -24), "Yes", "No")</f>
        <v>No</v>
      </c>
    </row>
    <row r="224" spans="1:20" x14ac:dyDescent="0.3">
      <c r="A224" s="4">
        <v>101013</v>
      </c>
      <c r="B224" s="5" t="s">
        <v>627</v>
      </c>
      <c r="C224" s="5" t="s">
        <v>628</v>
      </c>
      <c r="D224" s="5" t="s">
        <v>629</v>
      </c>
      <c r="E224" s="5" t="s">
        <v>16</v>
      </c>
      <c r="F224" s="15">
        <v>32831</v>
      </c>
      <c r="G224" s="5">
        <v>10</v>
      </c>
      <c r="H224" s="5" t="s">
        <v>29</v>
      </c>
      <c r="I224" s="5">
        <v>0</v>
      </c>
      <c r="J224" s="5" t="s">
        <v>24</v>
      </c>
      <c r="K224" s="12">
        <v>68550</v>
      </c>
      <c r="L224" s="5" t="s">
        <v>25</v>
      </c>
      <c r="M224" s="6" t="s">
        <v>20</v>
      </c>
      <c r="N224" s="15">
        <v>22336</v>
      </c>
      <c r="O224" s="15">
        <v>32831</v>
      </c>
      <c r="P224" s="5"/>
      <c r="Q224" s="2" t="str">
        <f>INDEX(Table3[#All], MATCH(Table1[[#This Row],[Dept_Id]], Table3[[#All],[Dept_Id]], 0), 1)</f>
        <v>Production</v>
      </c>
      <c r="R224" s="22" t="str">
        <f>IF(Table1[[#This Row],[Left?]] = 1, (Table1[[#This Row],[New_Last_Date]]-Table1[[#This Row],[New_DoJ]])/365.25, "")</f>
        <v/>
      </c>
      <c r="S224" s="2" cm="1">
        <f t="array" ref="S22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24" s="2" t="str">
        <f>IF(Table1[[#This Row],[New_DoJ]] &gt;= EDATE( MAX(Table1[New_DoJ]), -24), "Yes", "No")</f>
        <v>No</v>
      </c>
    </row>
    <row r="225" spans="1:20" x14ac:dyDescent="0.3">
      <c r="A225" s="4">
        <v>10134</v>
      </c>
      <c r="B225" s="5" t="s">
        <v>630</v>
      </c>
      <c r="C225" s="5" t="s">
        <v>631</v>
      </c>
      <c r="D225" s="5" t="s">
        <v>632</v>
      </c>
      <c r="E225" s="5" t="s">
        <v>16</v>
      </c>
      <c r="F225" s="15">
        <v>32123</v>
      </c>
      <c r="G225" s="5">
        <v>7</v>
      </c>
      <c r="H225" s="5" t="s">
        <v>29</v>
      </c>
      <c r="I225" s="5">
        <v>0</v>
      </c>
      <c r="J225" s="5" t="s">
        <v>24</v>
      </c>
      <c r="K225" s="12">
        <v>40000</v>
      </c>
      <c r="L225" s="5" t="s">
        <v>25</v>
      </c>
      <c r="M225" s="6" t="s">
        <v>20</v>
      </c>
      <c r="N225" s="15">
        <v>19464</v>
      </c>
      <c r="O225" s="15">
        <v>32123</v>
      </c>
      <c r="P225" s="5"/>
      <c r="Q225" s="2" t="str">
        <f>INDEX(Table3[#All], MATCH(Table1[[#This Row],[Dept_Id]], Table3[[#All],[Dept_Id]], 0), 1)</f>
        <v>Production</v>
      </c>
      <c r="R225" s="22" t="str">
        <f>IF(Table1[[#This Row],[Left?]] = 1, (Table1[[#This Row],[New_Last_Date]]-Table1[[#This Row],[New_DoJ]])/365.25, "")</f>
        <v/>
      </c>
      <c r="S225" s="2" cm="1">
        <f t="array" ref="S22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25" s="2" t="str">
        <f>IF(Table1[[#This Row],[New_DoJ]] &gt;= EDATE( MAX(Table1[New_DoJ]), -24), "Yes", "No")</f>
        <v>No</v>
      </c>
    </row>
    <row r="226" spans="1:20" x14ac:dyDescent="0.3">
      <c r="A226" s="4">
        <v>10134</v>
      </c>
      <c r="B226" s="5" t="s">
        <v>630</v>
      </c>
      <c r="C226" s="5" t="s">
        <v>631</v>
      </c>
      <c r="D226" s="5" t="s">
        <v>632</v>
      </c>
      <c r="E226" s="5" t="s">
        <v>16</v>
      </c>
      <c r="F226" s="15">
        <v>32123</v>
      </c>
      <c r="G226" s="5">
        <v>7</v>
      </c>
      <c r="H226" s="5" t="s">
        <v>29</v>
      </c>
      <c r="I226" s="5">
        <v>0</v>
      </c>
      <c r="J226" s="5" t="s">
        <v>24</v>
      </c>
      <c r="K226" s="12">
        <v>40000</v>
      </c>
      <c r="L226" s="5" t="s">
        <v>19</v>
      </c>
      <c r="M226" s="6" t="s">
        <v>20</v>
      </c>
      <c r="N226" s="15">
        <v>19464</v>
      </c>
      <c r="O226" s="15">
        <v>32123</v>
      </c>
      <c r="P226" s="5"/>
      <c r="Q226" s="2" t="str">
        <f>INDEX(Table3[#All], MATCH(Table1[[#This Row],[Dept_Id]], Table3[[#All],[Dept_Id]], 0), 1)</f>
        <v>Development</v>
      </c>
      <c r="R226" s="22" t="str">
        <f>IF(Table1[[#This Row],[Left?]] = 1, (Table1[[#This Row],[New_Last_Date]]-Table1[[#This Row],[New_DoJ]])/365.25, "")</f>
        <v/>
      </c>
      <c r="S226" s="2" cm="1">
        <f t="array" ref="S22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26" s="2" t="str">
        <f>IF(Table1[[#This Row],[New_DoJ]] &gt;= EDATE( MAX(Table1[New_DoJ]), -24), "Yes", "No")</f>
        <v>No</v>
      </c>
    </row>
    <row r="227" spans="1:20" x14ac:dyDescent="0.3">
      <c r="A227" s="4">
        <v>212882</v>
      </c>
      <c r="B227" s="5" t="s">
        <v>633</v>
      </c>
      <c r="C227" s="5" t="s">
        <v>634</v>
      </c>
      <c r="D227" s="5" t="s">
        <v>635</v>
      </c>
      <c r="E227" s="5" t="s">
        <v>33</v>
      </c>
      <c r="F227" s="15">
        <v>33647</v>
      </c>
      <c r="G227" s="5">
        <v>2</v>
      </c>
      <c r="H227" s="5" t="s">
        <v>29</v>
      </c>
      <c r="I227" s="5">
        <v>0</v>
      </c>
      <c r="J227" s="5" t="s">
        <v>24</v>
      </c>
      <c r="K227" s="12">
        <v>40000</v>
      </c>
      <c r="L227" s="5" t="s">
        <v>77</v>
      </c>
      <c r="M227" s="6" t="s">
        <v>39</v>
      </c>
      <c r="N227" s="15">
        <v>21545</v>
      </c>
      <c r="O227" s="15">
        <v>33647</v>
      </c>
      <c r="P227" s="5"/>
      <c r="Q227" s="2" t="str">
        <f>INDEX(Table3[#All], MATCH(Table1[[#This Row],[Dept_Id]], Table3[[#All],[Dept_Id]], 0), 1)</f>
        <v>Customer Service</v>
      </c>
      <c r="R227" s="22" t="str">
        <f>IF(Table1[[#This Row],[Left?]] = 1, (Table1[[#This Row],[New_Last_Date]]-Table1[[#This Row],[New_DoJ]])/365.25, "")</f>
        <v/>
      </c>
      <c r="S227" s="2" cm="1">
        <f t="array" ref="S22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27" s="2" t="str">
        <f>IF(Table1[[#This Row],[New_DoJ]] &gt;= EDATE( MAX(Table1[New_DoJ]), -24), "Yes", "No")</f>
        <v>No</v>
      </c>
    </row>
    <row r="228" spans="1:20" x14ac:dyDescent="0.3">
      <c r="A228" s="4">
        <v>10135</v>
      </c>
      <c r="B228" s="5" t="s">
        <v>636</v>
      </c>
      <c r="C228" s="5" t="s">
        <v>637</v>
      </c>
      <c r="D228" s="5" t="s">
        <v>638</v>
      </c>
      <c r="E228" s="5" t="s">
        <v>16</v>
      </c>
      <c r="F228" s="15">
        <v>32192</v>
      </c>
      <c r="G228" s="5">
        <v>7</v>
      </c>
      <c r="H228" s="5" t="s">
        <v>17</v>
      </c>
      <c r="I228" s="5">
        <v>0</v>
      </c>
      <c r="J228" s="5" t="s">
        <v>24</v>
      </c>
      <c r="K228" s="12">
        <v>40000</v>
      </c>
      <c r="L228" s="5" t="s">
        <v>25</v>
      </c>
      <c r="M228" s="6" t="s">
        <v>50</v>
      </c>
      <c r="N228" s="15">
        <v>20812</v>
      </c>
      <c r="O228" s="15">
        <v>32192</v>
      </c>
      <c r="P228" s="5"/>
      <c r="Q228" s="2" t="str">
        <f>INDEX(Table3[#All], MATCH(Table1[[#This Row],[Dept_Id]], Table3[[#All],[Dept_Id]], 0), 1)</f>
        <v>Production</v>
      </c>
      <c r="R228" s="22" t="str">
        <f>IF(Table1[[#This Row],[Left?]] = 1, (Table1[[#This Row],[New_Last_Date]]-Table1[[#This Row],[New_DoJ]])/365.25, "")</f>
        <v/>
      </c>
      <c r="S228" s="2" cm="1">
        <f t="array" ref="S22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28" s="2" t="str">
        <f>IF(Table1[[#This Row],[New_DoJ]] &gt;= EDATE( MAX(Table1[New_DoJ]), -24), "Yes", "No")</f>
        <v>No</v>
      </c>
    </row>
    <row r="229" spans="1:20" x14ac:dyDescent="0.3">
      <c r="A229" s="4">
        <v>10136</v>
      </c>
      <c r="B229" s="5" t="s">
        <v>639</v>
      </c>
      <c r="C229" s="5" t="s">
        <v>640</v>
      </c>
      <c r="D229" s="5" t="s">
        <v>641</v>
      </c>
      <c r="E229" s="5" t="s">
        <v>16</v>
      </c>
      <c r="F229" s="15">
        <v>31454</v>
      </c>
      <c r="G229" s="5">
        <v>10</v>
      </c>
      <c r="H229" s="5" t="s">
        <v>17</v>
      </c>
      <c r="I229" s="5">
        <v>0</v>
      </c>
      <c r="J229" s="5" t="s">
        <v>24</v>
      </c>
      <c r="K229" s="12">
        <v>82420</v>
      </c>
      <c r="L229" s="5" t="s">
        <v>38</v>
      </c>
      <c r="M229" s="6" t="s">
        <v>39</v>
      </c>
      <c r="N229" s="15">
        <v>22538</v>
      </c>
      <c r="O229" s="15">
        <v>31454</v>
      </c>
      <c r="P229" s="5"/>
      <c r="Q229" s="2" t="str">
        <f>INDEX(Table3[#All], MATCH(Table1[[#This Row],[Dept_Id]], Table3[[#All],[Dept_Id]], 0), 1)</f>
        <v>Sales</v>
      </c>
      <c r="R229" s="22" t="str">
        <f>IF(Table1[[#This Row],[Left?]] = 1, (Table1[[#This Row],[New_Last_Date]]-Table1[[#This Row],[New_DoJ]])/365.25, "")</f>
        <v/>
      </c>
      <c r="S229" s="2" cm="1">
        <f t="array" ref="S22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29" s="2" t="str">
        <f>IF(Table1[[#This Row],[New_DoJ]] &gt;= EDATE( MAX(Table1[New_DoJ]), -24), "Yes", "No")</f>
        <v>No</v>
      </c>
    </row>
    <row r="230" spans="1:20" x14ac:dyDescent="0.3">
      <c r="A230" s="4">
        <v>21620</v>
      </c>
      <c r="B230" s="5" t="s">
        <v>642</v>
      </c>
      <c r="C230" s="5" t="s">
        <v>437</v>
      </c>
      <c r="D230" s="5" t="s">
        <v>643</v>
      </c>
      <c r="E230" s="5" t="s">
        <v>16</v>
      </c>
      <c r="F230" s="15">
        <v>33965</v>
      </c>
      <c r="G230" s="5">
        <v>8</v>
      </c>
      <c r="H230" s="5" t="s">
        <v>115</v>
      </c>
      <c r="I230" s="5">
        <v>0</v>
      </c>
      <c r="J230" s="5" t="s">
        <v>24</v>
      </c>
      <c r="K230" s="12">
        <v>40000</v>
      </c>
      <c r="L230" s="5" t="s">
        <v>55</v>
      </c>
      <c r="M230" s="6" t="s">
        <v>39</v>
      </c>
      <c r="N230" s="15">
        <v>22244</v>
      </c>
      <c r="O230" s="15">
        <v>33965</v>
      </c>
      <c r="P230" s="5"/>
      <c r="Q230" s="2" t="str">
        <f>INDEX(Table3[#All], MATCH(Table1[[#This Row],[Dept_Id]], Table3[[#All],[Dept_Id]], 0), 1)</f>
        <v>Research</v>
      </c>
      <c r="R230" s="22" t="str">
        <f>IF(Table1[[#This Row],[Left?]] = 1, (Table1[[#This Row],[New_Last_Date]]-Table1[[#This Row],[New_DoJ]])/365.25, "")</f>
        <v/>
      </c>
      <c r="S230" s="2" cm="1">
        <f t="array" ref="S23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230" s="2" t="str">
        <f>IF(Table1[[#This Row],[New_DoJ]] &gt;= EDATE( MAX(Table1[New_DoJ]), -24), "Yes", "No")</f>
        <v>No</v>
      </c>
    </row>
    <row r="231" spans="1:20" x14ac:dyDescent="0.3">
      <c r="A231" s="4">
        <v>10137</v>
      </c>
      <c r="B231" s="5" t="s">
        <v>644</v>
      </c>
      <c r="C231" s="5" t="s">
        <v>645</v>
      </c>
      <c r="D231" s="5" t="s">
        <v>646</v>
      </c>
      <c r="E231" s="5" t="s">
        <v>16</v>
      </c>
      <c r="F231" s="15">
        <v>31096</v>
      </c>
      <c r="G231" s="5">
        <v>3</v>
      </c>
      <c r="H231" s="5" t="s">
        <v>34</v>
      </c>
      <c r="I231" s="5">
        <v>0</v>
      </c>
      <c r="J231" s="5" t="s">
        <v>24</v>
      </c>
      <c r="K231" s="12">
        <v>40000</v>
      </c>
      <c r="L231" s="5" t="s">
        <v>77</v>
      </c>
      <c r="M231" s="6" t="s">
        <v>39</v>
      </c>
      <c r="N231" s="15">
        <v>21761</v>
      </c>
      <c r="O231" s="15">
        <v>31096</v>
      </c>
      <c r="P231" s="5"/>
      <c r="Q231" s="2" t="str">
        <f>INDEX(Table3[#All], MATCH(Table1[[#This Row],[Dept_Id]], Table3[[#All],[Dept_Id]], 0), 1)</f>
        <v>Customer Service</v>
      </c>
      <c r="R231" s="22" t="str">
        <f>IF(Table1[[#This Row],[Left?]] = 1, (Table1[[#This Row],[New_Last_Date]]-Table1[[#This Row],[New_DoJ]])/365.25, "")</f>
        <v/>
      </c>
      <c r="S231" s="2" cm="1">
        <f t="array" ref="S23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31" s="2" t="str">
        <f>IF(Table1[[#This Row],[New_DoJ]] &gt;= EDATE( MAX(Table1[New_DoJ]), -24), "Yes", "No")</f>
        <v>No</v>
      </c>
    </row>
    <row r="232" spans="1:20" x14ac:dyDescent="0.3">
      <c r="A232" s="4">
        <v>10138</v>
      </c>
      <c r="B232" s="5" t="s">
        <v>647</v>
      </c>
      <c r="C232" s="5" t="s">
        <v>135</v>
      </c>
      <c r="D232" s="5" t="s">
        <v>620</v>
      </c>
      <c r="E232" s="5" t="s">
        <v>16</v>
      </c>
      <c r="F232" s="15">
        <v>31673</v>
      </c>
      <c r="G232" s="5">
        <v>5</v>
      </c>
      <c r="H232" s="5" t="s">
        <v>17</v>
      </c>
      <c r="I232" s="5">
        <v>0</v>
      </c>
      <c r="J232" s="5" t="s">
        <v>24</v>
      </c>
      <c r="K232" s="12">
        <v>53574</v>
      </c>
      <c r="L232" s="5" t="s">
        <v>63</v>
      </c>
      <c r="M232" s="6" t="s">
        <v>20</v>
      </c>
      <c r="N232" s="15">
        <v>20203</v>
      </c>
      <c r="O232" s="15">
        <v>31673</v>
      </c>
      <c r="P232" s="5"/>
      <c r="Q232" s="2" t="str">
        <f>INDEX(Table3[#All], MATCH(Table1[[#This Row],[Dept_Id]], Table3[[#All],[Dept_Id]], 0), 1)</f>
        <v>Quality Management</v>
      </c>
      <c r="R232" s="22" t="str">
        <f>IF(Table1[[#This Row],[Left?]] = 1, (Table1[[#This Row],[New_Last_Date]]-Table1[[#This Row],[New_DoJ]])/365.25, "")</f>
        <v/>
      </c>
      <c r="S232" s="2" cm="1">
        <f t="array" ref="S23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32" s="2" t="str">
        <f>IF(Table1[[#This Row],[New_DoJ]] &gt;= EDATE( MAX(Table1[New_DoJ]), -24), "Yes", "No")</f>
        <v>No</v>
      </c>
    </row>
    <row r="233" spans="1:20" x14ac:dyDescent="0.3">
      <c r="A233" s="4">
        <v>223670</v>
      </c>
      <c r="B233" s="5" t="s">
        <v>648</v>
      </c>
      <c r="C233" s="5" t="s">
        <v>377</v>
      </c>
      <c r="D233" s="5" t="s">
        <v>649</v>
      </c>
      <c r="E233" s="5" t="s">
        <v>33</v>
      </c>
      <c r="F233" s="15">
        <v>33055</v>
      </c>
      <c r="G233" s="5">
        <v>1</v>
      </c>
      <c r="H233" s="5" t="s">
        <v>29</v>
      </c>
      <c r="I233" s="5">
        <v>1</v>
      </c>
      <c r="J233" s="5" t="s">
        <v>650</v>
      </c>
      <c r="K233" s="12">
        <v>40000</v>
      </c>
      <c r="L233" s="5" t="s">
        <v>19</v>
      </c>
      <c r="M233" s="6" t="s">
        <v>20</v>
      </c>
      <c r="N233" s="15">
        <v>19214</v>
      </c>
      <c r="O233" s="15">
        <v>33055</v>
      </c>
      <c r="P233" s="15">
        <v>34209</v>
      </c>
      <c r="Q233" s="2" t="str">
        <f>INDEX(Table3[#All], MATCH(Table1[[#This Row],[Dept_Id]], Table3[[#All],[Dept_Id]], 0), 1)</f>
        <v>Development</v>
      </c>
      <c r="R233" s="22">
        <f>IF(Table1[[#This Row],[Left?]] = 1, (Table1[[#This Row],[New_Last_Date]]-Table1[[#This Row],[New_DoJ]])/365.25, "")</f>
        <v>3.159479808350445</v>
      </c>
      <c r="S233" s="2" cm="1">
        <f t="array" ref="S23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33" s="2" t="str">
        <f>IF(Table1[[#This Row],[New_DoJ]] &gt;= EDATE( MAX(Table1[New_DoJ]), -24), "Yes", "No")</f>
        <v>No</v>
      </c>
    </row>
    <row r="234" spans="1:20" x14ac:dyDescent="0.3">
      <c r="A234" s="4">
        <v>10139</v>
      </c>
      <c r="B234" s="5" t="s">
        <v>651</v>
      </c>
      <c r="C234" s="5" t="s">
        <v>652</v>
      </c>
      <c r="D234" s="5" t="s">
        <v>653</v>
      </c>
      <c r="E234" s="5" t="s">
        <v>33</v>
      </c>
      <c r="F234" s="15">
        <v>35869</v>
      </c>
      <c r="G234" s="5">
        <v>7</v>
      </c>
      <c r="H234" s="5" t="s">
        <v>291</v>
      </c>
      <c r="I234" s="5">
        <v>0</v>
      </c>
      <c r="J234" s="5" t="s">
        <v>24</v>
      </c>
      <c r="K234" s="12">
        <v>40000</v>
      </c>
      <c r="L234" s="5" t="s">
        <v>19</v>
      </c>
      <c r="M234" s="6" t="s">
        <v>50</v>
      </c>
      <c r="N234" s="15">
        <v>23073</v>
      </c>
      <c r="O234" s="15">
        <v>35869</v>
      </c>
      <c r="P234" s="5"/>
      <c r="Q234" s="2" t="str">
        <f>INDEX(Table3[#All], MATCH(Table1[[#This Row],[Dept_Id]], Table3[[#All],[Dept_Id]], 0), 1)</f>
        <v>Development</v>
      </c>
      <c r="R234" s="22" t="str">
        <f>IF(Table1[[#This Row],[Left?]] = 1, (Table1[[#This Row],[New_Last_Date]]-Table1[[#This Row],[New_DoJ]])/365.25, "")</f>
        <v/>
      </c>
      <c r="S234" s="2" cm="1">
        <f t="array" ref="S23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5</v>
      </c>
      <c r="T234" s="2" t="str">
        <f>IF(Table1[[#This Row],[New_DoJ]] &gt;= EDATE( MAX(Table1[New_DoJ]), -24), "Yes", "No")</f>
        <v>Yes</v>
      </c>
    </row>
    <row r="235" spans="1:20" x14ac:dyDescent="0.3">
      <c r="A235" s="4">
        <v>10140</v>
      </c>
      <c r="B235" s="5" t="s">
        <v>654</v>
      </c>
      <c r="C235" s="5" t="s">
        <v>655</v>
      </c>
      <c r="D235" s="5" t="s">
        <v>656</v>
      </c>
      <c r="E235" s="5" t="s">
        <v>33</v>
      </c>
      <c r="F235" s="15">
        <v>33311</v>
      </c>
      <c r="G235" s="5">
        <v>2</v>
      </c>
      <c r="H235" s="5" t="s">
        <v>34</v>
      </c>
      <c r="I235" s="5">
        <v>0</v>
      </c>
      <c r="J235" s="5" t="s">
        <v>24</v>
      </c>
      <c r="K235" s="12">
        <v>61352</v>
      </c>
      <c r="L235" s="5" t="s">
        <v>105</v>
      </c>
      <c r="M235" s="6" t="s">
        <v>39</v>
      </c>
      <c r="N235" s="15">
        <v>20890</v>
      </c>
      <c r="O235" s="15">
        <v>33311</v>
      </c>
      <c r="P235" s="5"/>
      <c r="Q235" s="2" t="str">
        <f>INDEX(Table3[#All], MATCH(Table1[[#This Row],[Dept_Id]], Table3[[#All],[Dept_Id]], 0), 1)</f>
        <v>Marketing</v>
      </c>
      <c r="R235" s="22" t="str">
        <f>IF(Table1[[#This Row],[Left?]] = 1, (Table1[[#This Row],[New_Last_Date]]-Table1[[#This Row],[New_DoJ]])/365.25, "")</f>
        <v/>
      </c>
      <c r="S235" s="2" cm="1">
        <f t="array" ref="S23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35" s="2" t="str">
        <f>IF(Table1[[#This Row],[New_DoJ]] &gt;= EDATE( MAX(Table1[New_DoJ]), -24), "Yes", "No")</f>
        <v>No</v>
      </c>
    </row>
    <row r="236" spans="1:20" x14ac:dyDescent="0.3">
      <c r="A236" s="4">
        <v>209422</v>
      </c>
      <c r="B236" s="5" t="s">
        <v>657</v>
      </c>
      <c r="C236" s="5" t="s">
        <v>658</v>
      </c>
      <c r="D236" s="5" t="s">
        <v>659</v>
      </c>
      <c r="E236" s="5" t="s">
        <v>16</v>
      </c>
      <c r="F236" s="15">
        <v>36172</v>
      </c>
      <c r="G236" s="5">
        <v>2</v>
      </c>
      <c r="H236" s="5" t="s">
        <v>34</v>
      </c>
      <c r="I236" s="5">
        <v>0</v>
      </c>
      <c r="J236" s="5" t="s">
        <v>24</v>
      </c>
      <c r="K236" s="12">
        <v>72780</v>
      </c>
      <c r="L236" s="5" t="s">
        <v>25</v>
      </c>
      <c r="M236" s="6" t="s">
        <v>50</v>
      </c>
      <c r="N236" s="15">
        <v>23586</v>
      </c>
      <c r="O236" s="15">
        <v>36172</v>
      </c>
      <c r="P236" s="5"/>
      <c r="Q236" s="2" t="str">
        <f>INDEX(Table3[#All], MATCH(Table1[[#This Row],[Dept_Id]], Table3[[#All],[Dept_Id]], 0), 1)</f>
        <v>Production</v>
      </c>
      <c r="R236" s="22" t="str">
        <f>IF(Table1[[#This Row],[Left?]] = 1, (Table1[[#This Row],[New_Last_Date]]-Table1[[#This Row],[New_DoJ]])/365.25, "")</f>
        <v/>
      </c>
      <c r="S236" s="2" cm="1">
        <f t="array" ref="S23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36" s="2" t="str">
        <f>IF(Table1[[#This Row],[New_DoJ]] &gt;= EDATE( MAX(Table1[New_DoJ]), -24), "Yes", "No")</f>
        <v>Yes</v>
      </c>
    </row>
    <row r="237" spans="1:20" x14ac:dyDescent="0.3">
      <c r="A237" s="4">
        <v>10141</v>
      </c>
      <c r="B237" s="5" t="s">
        <v>660</v>
      </c>
      <c r="C237" s="5" t="s">
        <v>131</v>
      </c>
      <c r="D237" s="5" t="s">
        <v>661</v>
      </c>
      <c r="E237" s="5" t="s">
        <v>33</v>
      </c>
      <c r="F237" s="15">
        <v>34095</v>
      </c>
      <c r="G237" s="5">
        <v>9</v>
      </c>
      <c r="H237" s="5" t="s">
        <v>115</v>
      </c>
      <c r="I237" s="5">
        <v>1</v>
      </c>
      <c r="J237" s="5" t="s">
        <v>662</v>
      </c>
      <c r="K237" s="12">
        <v>62907</v>
      </c>
      <c r="L237" s="5" t="s">
        <v>55</v>
      </c>
      <c r="M237" s="6" t="s">
        <v>87</v>
      </c>
      <c r="N237" s="15">
        <v>21932</v>
      </c>
      <c r="O237" s="15">
        <v>34095</v>
      </c>
      <c r="P237" s="15">
        <v>38090</v>
      </c>
      <c r="Q237" s="2" t="str">
        <f>INDEX(Table3[#All], MATCH(Table1[[#This Row],[Dept_Id]], Table3[[#All],[Dept_Id]], 0), 1)</f>
        <v>Research</v>
      </c>
      <c r="R237" s="22">
        <f>IF(Table1[[#This Row],[Left?]] = 1, (Table1[[#This Row],[New_Last_Date]]-Table1[[#This Row],[New_DoJ]])/365.25, "")</f>
        <v>10.937713894592745</v>
      </c>
      <c r="S237" s="2" cm="1">
        <f t="array" ref="S23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237" s="2" t="str">
        <f>IF(Table1[[#This Row],[New_DoJ]] &gt;= EDATE( MAX(Table1[New_DoJ]), -24), "Yes", "No")</f>
        <v>No</v>
      </c>
    </row>
    <row r="238" spans="1:20" x14ac:dyDescent="0.3">
      <c r="A238" s="4">
        <v>10142</v>
      </c>
      <c r="B238" s="5" t="s">
        <v>663</v>
      </c>
      <c r="C238" s="5" t="s">
        <v>52</v>
      </c>
      <c r="D238" s="5" t="s">
        <v>664</v>
      </c>
      <c r="E238" s="5" t="s">
        <v>16</v>
      </c>
      <c r="F238" s="15">
        <v>34270</v>
      </c>
      <c r="G238" s="5">
        <v>5</v>
      </c>
      <c r="H238" s="5" t="s">
        <v>17</v>
      </c>
      <c r="I238" s="5">
        <v>0</v>
      </c>
      <c r="J238" s="5" t="s">
        <v>24</v>
      </c>
      <c r="K238" s="12">
        <v>40000</v>
      </c>
      <c r="L238" s="5" t="s">
        <v>19</v>
      </c>
      <c r="M238" s="6" t="s">
        <v>20</v>
      </c>
      <c r="N238" s="15">
        <v>20696</v>
      </c>
      <c r="O238" s="15">
        <v>34270</v>
      </c>
      <c r="P238" s="5"/>
      <c r="Q238" s="2" t="str">
        <f>INDEX(Table3[#All], MATCH(Table1[[#This Row],[Dept_Id]], Table3[[#All],[Dept_Id]], 0), 1)</f>
        <v>Development</v>
      </c>
      <c r="R238" s="22" t="str">
        <f>IF(Table1[[#This Row],[Left?]] = 1, (Table1[[#This Row],[New_Last_Date]]-Table1[[#This Row],[New_DoJ]])/365.25, "")</f>
        <v/>
      </c>
      <c r="S238" s="2" cm="1">
        <f t="array" ref="S23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38" s="2" t="str">
        <f>IF(Table1[[#This Row],[New_DoJ]] &gt;= EDATE( MAX(Table1[New_DoJ]), -24), "Yes", "No")</f>
        <v>No</v>
      </c>
    </row>
    <row r="239" spans="1:20" x14ac:dyDescent="0.3">
      <c r="A239" s="4">
        <v>403328</v>
      </c>
      <c r="B239" s="5" t="s">
        <v>665</v>
      </c>
      <c r="C239" s="5" t="s">
        <v>666</v>
      </c>
      <c r="D239" s="5" t="s">
        <v>667</v>
      </c>
      <c r="E239" s="5" t="s">
        <v>16</v>
      </c>
      <c r="F239" s="15">
        <v>34599</v>
      </c>
      <c r="G239" s="5">
        <v>4</v>
      </c>
      <c r="H239" s="5" t="s">
        <v>17</v>
      </c>
      <c r="I239" s="5">
        <v>0</v>
      </c>
      <c r="J239" s="5" t="s">
        <v>24</v>
      </c>
      <c r="K239" s="12">
        <v>40000</v>
      </c>
      <c r="L239" s="5" t="s">
        <v>25</v>
      </c>
      <c r="M239" s="6" t="s">
        <v>20</v>
      </c>
      <c r="N239" s="15">
        <v>21637</v>
      </c>
      <c r="O239" s="15">
        <v>34599</v>
      </c>
      <c r="P239" s="5"/>
      <c r="Q239" s="2" t="str">
        <f>INDEX(Table3[#All], MATCH(Table1[[#This Row],[Dept_Id]], Table3[[#All],[Dept_Id]], 0), 1)</f>
        <v>Production</v>
      </c>
      <c r="R239" s="22" t="str">
        <f>IF(Table1[[#This Row],[Left?]] = 1, (Table1[[#This Row],[New_Last_Date]]-Table1[[#This Row],[New_DoJ]])/365.25, "")</f>
        <v/>
      </c>
      <c r="S239" s="2" cm="1">
        <f t="array" ref="S23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39" s="2" t="str">
        <f>IF(Table1[[#This Row],[New_DoJ]] &gt;= EDATE( MAX(Table1[New_DoJ]), -24), "Yes", "No")</f>
        <v>No</v>
      </c>
    </row>
    <row r="240" spans="1:20" x14ac:dyDescent="0.3">
      <c r="A240" s="4">
        <v>403328</v>
      </c>
      <c r="B240" s="5" t="s">
        <v>665</v>
      </c>
      <c r="C240" s="5" t="s">
        <v>666</v>
      </c>
      <c r="D240" s="5" t="s">
        <v>667</v>
      </c>
      <c r="E240" s="5" t="s">
        <v>16</v>
      </c>
      <c r="F240" s="15">
        <v>34599</v>
      </c>
      <c r="G240" s="5">
        <v>4</v>
      </c>
      <c r="H240" s="5" t="s">
        <v>17</v>
      </c>
      <c r="I240" s="5">
        <v>0</v>
      </c>
      <c r="J240" s="5" t="s">
        <v>24</v>
      </c>
      <c r="K240" s="12">
        <v>40000</v>
      </c>
      <c r="L240" s="5" t="s">
        <v>77</v>
      </c>
      <c r="M240" s="6" t="s">
        <v>20</v>
      </c>
      <c r="N240" s="15">
        <v>21637</v>
      </c>
      <c r="O240" s="15">
        <v>34599</v>
      </c>
      <c r="P240" s="5"/>
      <c r="Q240" s="2" t="str">
        <f>INDEX(Table3[#All], MATCH(Table1[[#This Row],[Dept_Id]], Table3[[#All],[Dept_Id]], 0), 1)</f>
        <v>Customer Service</v>
      </c>
      <c r="R240" s="22" t="str">
        <f>IF(Table1[[#This Row],[Left?]] = 1, (Table1[[#This Row],[New_Last_Date]]-Table1[[#This Row],[New_DoJ]])/365.25, "")</f>
        <v/>
      </c>
      <c r="S240" s="2" cm="1">
        <f t="array" ref="S24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40" s="2" t="str">
        <f>IF(Table1[[#This Row],[New_DoJ]] &gt;= EDATE( MAX(Table1[New_DoJ]), -24), "Yes", "No")</f>
        <v>No</v>
      </c>
    </row>
    <row r="241" spans="1:20" x14ac:dyDescent="0.3">
      <c r="A241" s="4">
        <v>10143</v>
      </c>
      <c r="B241" s="5" t="s">
        <v>668</v>
      </c>
      <c r="C241" s="5" t="s">
        <v>669</v>
      </c>
      <c r="D241" s="5" t="s">
        <v>315</v>
      </c>
      <c r="E241" s="5" t="s">
        <v>16</v>
      </c>
      <c r="F241" s="15">
        <v>32416</v>
      </c>
      <c r="G241" s="5">
        <v>7</v>
      </c>
      <c r="H241" s="5" t="s">
        <v>29</v>
      </c>
      <c r="I241" s="5">
        <v>0</v>
      </c>
      <c r="J241" s="5" t="s">
        <v>24</v>
      </c>
      <c r="K241" s="12">
        <v>40000</v>
      </c>
      <c r="L241" s="5" t="s">
        <v>19</v>
      </c>
      <c r="M241" s="6" t="s">
        <v>20</v>
      </c>
      <c r="N241" s="15">
        <v>22478</v>
      </c>
      <c r="O241" s="15">
        <v>32416</v>
      </c>
      <c r="P241" s="5"/>
      <c r="Q241" s="2" t="str">
        <f>INDEX(Table3[#All], MATCH(Table1[[#This Row],[Dept_Id]], Table3[[#All],[Dept_Id]], 0), 1)</f>
        <v>Development</v>
      </c>
      <c r="R241" s="22" t="str">
        <f>IF(Table1[[#This Row],[Left?]] = 1, (Table1[[#This Row],[New_Last_Date]]-Table1[[#This Row],[New_DoJ]])/365.25, "")</f>
        <v/>
      </c>
      <c r="S241" s="2" cm="1">
        <f t="array" ref="S24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41" s="2" t="str">
        <f>IF(Table1[[#This Row],[New_DoJ]] &gt;= EDATE( MAX(Table1[New_DoJ]), -24), "Yes", "No")</f>
        <v>No</v>
      </c>
    </row>
    <row r="242" spans="1:20" x14ac:dyDescent="0.3">
      <c r="A242" s="4">
        <v>10144</v>
      </c>
      <c r="B242" s="5" t="s">
        <v>670</v>
      </c>
      <c r="C242" s="5" t="s">
        <v>671</v>
      </c>
      <c r="D242" s="5" t="s">
        <v>672</v>
      </c>
      <c r="E242" s="5" t="s">
        <v>16</v>
      </c>
      <c r="F242" s="15">
        <v>31334</v>
      </c>
      <c r="G242" s="5">
        <v>1</v>
      </c>
      <c r="H242" s="5" t="s">
        <v>29</v>
      </c>
      <c r="I242" s="5">
        <v>0</v>
      </c>
      <c r="J242" s="5" t="s">
        <v>24</v>
      </c>
      <c r="K242" s="12">
        <v>56720</v>
      </c>
      <c r="L242" s="5" t="s">
        <v>92</v>
      </c>
      <c r="M242" s="6" t="s">
        <v>39</v>
      </c>
      <c r="N242" s="15">
        <v>21718</v>
      </c>
      <c r="O242" s="15">
        <v>31334</v>
      </c>
      <c r="P242" s="5"/>
      <c r="Q242" s="2" t="str">
        <f>INDEX(Table3[#All], MATCH(Table1[[#This Row],[Dept_Id]], Table3[[#All],[Dept_Id]], 0), 1)</f>
        <v>Finance</v>
      </c>
      <c r="R242" s="22" t="str">
        <f>IF(Table1[[#This Row],[Left?]] = 1, (Table1[[#This Row],[New_Last_Date]]-Table1[[#This Row],[New_DoJ]])/365.25, "")</f>
        <v/>
      </c>
      <c r="S242" s="2" cm="1">
        <f t="array" ref="S24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42" s="2" t="str">
        <f>IF(Table1[[#This Row],[New_DoJ]] &gt;= EDATE( MAX(Table1[New_DoJ]), -24), "Yes", "No")</f>
        <v>No</v>
      </c>
    </row>
    <row r="243" spans="1:20" x14ac:dyDescent="0.3">
      <c r="A243" s="4">
        <v>10144</v>
      </c>
      <c r="B243" s="5" t="s">
        <v>670</v>
      </c>
      <c r="C243" s="5" t="s">
        <v>671</v>
      </c>
      <c r="D243" s="5" t="s">
        <v>672</v>
      </c>
      <c r="E243" s="5" t="s">
        <v>16</v>
      </c>
      <c r="F243" s="15">
        <v>31334</v>
      </c>
      <c r="G243" s="5">
        <v>1</v>
      </c>
      <c r="H243" s="5" t="s">
        <v>29</v>
      </c>
      <c r="I243" s="5">
        <v>0</v>
      </c>
      <c r="J243" s="5" t="s">
        <v>24</v>
      </c>
      <c r="K243" s="12">
        <v>56720</v>
      </c>
      <c r="L243" s="5" t="s">
        <v>43</v>
      </c>
      <c r="M243" s="6" t="s">
        <v>39</v>
      </c>
      <c r="N243" s="15">
        <v>21718</v>
      </c>
      <c r="O243" s="15">
        <v>31334</v>
      </c>
      <c r="P243" s="5"/>
      <c r="Q243" s="2" t="str">
        <f>INDEX(Table3[#All], MATCH(Table1[[#This Row],[Dept_Id]], Table3[[#All],[Dept_Id]], 0), 1)</f>
        <v>Human Resources</v>
      </c>
      <c r="R243" s="22" t="str">
        <f>IF(Table1[[#This Row],[Left?]] = 1, (Table1[[#This Row],[New_Last_Date]]-Table1[[#This Row],[New_DoJ]])/365.25, "")</f>
        <v/>
      </c>
      <c r="S243" s="2" cm="1">
        <f t="array" ref="S24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43" s="2" t="str">
        <f>IF(Table1[[#This Row],[New_DoJ]] &gt;= EDATE( MAX(Table1[New_DoJ]), -24), "Yes", "No")</f>
        <v>No</v>
      </c>
    </row>
    <row r="244" spans="1:20" x14ac:dyDescent="0.3">
      <c r="A244" s="4">
        <v>292694</v>
      </c>
      <c r="B244" s="5" t="s">
        <v>673</v>
      </c>
      <c r="C244" s="5" t="s">
        <v>674</v>
      </c>
      <c r="D244" s="5" t="s">
        <v>195</v>
      </c>
      <c r="E244" s="5" t="s">
        <v>16</v>
      </c>
      <c r="F244" s="15">
        <v>33215</v>
      </c>
      <c r="G244" s="5">
        <v>10</v>
      </c>
      <c r="H244" s="5" t="s">
        <v>17</v>
      </c>
      <c r="I244" s="5">
        <v>0</v>
      </c>
      <c r="J244" s="5" t="s">
        <v>24</v>
      </c>
      <c r="K244" s="12">
        <v>40000</v>
      </c>
      <c r="L244" s="5" t="s">
        <v>25</v>
      </c>
      <c r="M244" s="6" t="s">
        <v>20</v>
      </c>
      <c r="N244" s="15">
        <v>23548</v>
      </c>
      <c r="O244" s="15">
        <v>33215</v>
      </c>
      <c r="P244" s="5"/>
      <c r="Q244" s="2" t="str">
        <f>INDEX(Table3[#All], MATCH(Table1[[#This Row],[Dept_Id]], Table3[[#All],[Dept_Id]], 0), 1)</f>
        <v>Production</v>
      </c>
      <c r="R244" s="22" t="str">
        <f>IF(Table1[[#This Row],[Left?]] = 1, (Table1[[#This Row],[New_Last_Date]]-Table1[[#This Row],[New_DoJ]])/365.25, "")</f>
        <v/>
      </c>
      <c r="S244" s="2" cm="1">
        <f t="array" ref="S24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44" s="2" t="str">
        <f>IF(Table1[[#This Row],[New_DoJ]] &gt;= EDATE( MAX(Table1[New_DoJ]), -24), "Yes", "No")</f>
        <v>No</v>
      </c>
    </row>
    <row r="245" spans="1:20" x14ac:dyDescent="0.3">
      <c r="A245" s="4">
        <v>10145</v>
      </c>
      <c r="B245" s="5" t="s">
        <v>675</v>
      </c>
      <c r="C245" s="5" t="s">
        <v>496</v>
      </c>
      <c r="D245" s="5" t="s">
        <v>574</v>
      </c>
      <c r="E245" s="5" t="s">
        <v>33</v>
      </c>
      <c r="F245" s="15">
        <v>31990</v>
      </c>
      <c r="G245" s="5">
        <v>4</v>
      </c>
      <c r="H245" s="5" t="s">
        <v>29</v>
      </c>
      <c r="I245" s="5">
        <v>0</v>
      </c>
      <c r="J245" s="5" t="s">
        <v>24</v>
      </c>
      <c r="K245" s="12">
        <v>47612</v>
      </c>
      <c r="L245" s="5" t="s">
        <v>19</v>
      </c>
      <c r="M245" s="6" t="s">
        <v>50</v>
      </c>
      <c r="N245" s="15">
        <v>20544</v>
      </c>
      <c r="O245" s="15">
        <v>31990</v>
      </c>
      <c r="P245" s="5"/>
      <c r="Q245" s="2" t="str">
        <f>INDEX(Table3[#All], MATCH(Table1[[#This Row],[Dept_Id]], Table3[[#All],[Dept_Id]], 0), 1)</f>
        <v>Development</v>
      </c>
      <c r="R245" s="22" t="str">
        <f>IF(Table1[[#This Row],[Left?]] = 1, (Table1[[#This Row],[New_Last_Date]]-Table1[[#This Row],[New_DoJ]])/365.25, "")</f>
        <v/>
      </c>
      <c r="S245" s="2" cm="1">
        <f t="array" ref="S24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45" s="2" t="str">
        <f>IF(Table1[[#This Row],[New_DoJ]] &gt;= EDATE( MAX(Table1[New_DoJ]), -24), "Yes", "No")</f>
        <v>No</v>
      </c>
    </row>
    <row r="246" spans="1:20" x14ac:dyDescent="0.3">
      <c r="A246" s="4">
        <v>10146</v>
      </c>
      <c r="B246" s="5" t="s">
        <v>676</v>
      </c>
      <c r="C246" s="5" t="s">
        <v>677</v>
      </c>
      <c r="D246" s="5" t="s">
        <v>678</v>
      </c>
      <c r="E246" s="5" t="s">
        <v>16</v>
      </c>
      <c r="F246" s="15">
        <v>32322</v>
      </c>
      <c r="G246" s="5">
        <v>6</v>
      </c>
      <c r="H246" s="5" t="s">
        <v>34</v>
      </c>
      <c r="I246" s="5">
        <v>0</v>
      </c>
      <c r="J246" s="5" t="s">
        <v>24</v>
      </c>
      <c r="K246" s="12">
        <v>60394</v>
      </c>
      <c r="L246" s="5" t="s">
        <v>92</v>
      </c>
      <c r="M246" s="6" t="s">
        <v>39</v>
      </c>
      <c r="N246" s="15">
        <v>21562</v>
      </c>
      <c r="O246" s="15">
        <v>32322</v>
      </c>
      <c r="P246" s="5"/>
      <c r="Q246" s="2" t="str">
        <f>INDEX(Table3[#All], MATCH(Table1[[#This Row],[Dept_Id]], Table3[[#All],[Dept_Id]], 0), 1)</f>
        <v>Finance</v>
      </c>
      <c r="R246" s="22" t="str">
        <f>IF(Table1[[#This Row],[Left?]] = 1, (Table1[[#This Row],[New_Last_Date]]-Table1[[#This Row],[New_DoJ]])/365.25, "")</f>
        <v/>
      </c>
      <c r="S246" s="2" cm="1">
        <f t="array" ref="S24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46" s="2" t="str">
        <f>IF(Table1[[#This Row],[New_DoJ]] &gt;= EDATE( MAX(Table1[New_DoJ]), -24), "Yes", "No")</f>
        <v>No</v>
      </c>
    </row>
    <row r="247" spans="1:20" x14ac:dyDescent="0.3">
      <c r="A247" s="4">
        <v>10147</v>
      </c>
      <c r="B247" s="5" t="s">
        <v>679</v>
      </c>
      <c r="C247" s="5" t="s">
        <v>100</v>
      </c>
      <c r="D247" s="5" t="s">
        <v>540</v>
      </c>
      <c r="E247" s="5" t="s">
        <v>16</v>
      </c>
      <c r="F247" s="15">
        <v>31645</v>
      </c>
      <c r="G247" s="5">
        <v>1</v>
      </c>
      <c r="H247" s="5" t="s">
        <v>29</v>
      </c>
      <c r="I247" s="5">
        <v>0</v>
      </c>
      <c r="J247" s="5" t="s">
        <v>24</v>
      </c>
      <c r="K247" s="12">
        <v>40000</v>
      </c>
      <c r="L247" s="5" t="s">
        <v>92</v>
      </c>
      <c r="M247" s="6" t="s">
        <v>39</v>
      </c>
      <c r="N247" s="15">
        <v>23663</v>
      </c>
      <c r="O247" s="15">
        <v>31645</v>
      </c>
      <c r="P247" s="5"/>
      <c r="Q247" s="2" t="str">
        <f>INDEX(Table3[#All], MATCH(Table1[[#This Row],[Dept_Id]], Table3[[#All],[Dept_Id]], 0), 1)</f>
        <v>Finance</v>
      </c>
      <c r="R247" s="22" t="str">
        <f>IF(Table1[[#This Row],[Left?]] = 1, (Table1[[#This Row],[New_Last_Date]]-Table1[[#This Row],[New_DoJ]])/365.25, "")</f>
        <v/>
      </c>
      <c r="S247" s="2" cm="1">
        <f t="array" ref="S24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47" s="2" t="str">
        <f>IF(Table1[[#This Row],[New_DoJ]] &gt;= EDATE( MAX(Table1[New_DoJ]), -24), "Yes", "No")</f>
        <v>No</v>
      </c>
    </row>
    <row r="248" spans="1:20" x14ac:dyDescent="0.3">
      <c r="A248" s="4">
        <v>270554</v>
      </c>
      <c r="B248" s="5" t="s">
        <v>680</v>
      </c>
      <c r="C248" s="5" t="s">
        <v>681</v>
      </c>
      <c r="D248" s="5" t="s">
        <v>682</v>
      </c>
      <c r="E248" s="5" t="s">
        <v>33</v>
      </c>
      <c r="F248" s="15">
        <v>34197</v>
      </c>
      <c r="G248" s="5">
        <v>7</v>
      </c>
      <c r="H248" s="5" t="s">
        <v>29</v>
      </c>
      <c r="I248" s="5">
        <v>0</v>
      </c>
      <c r="J248" s="5" t="s">
        <v>24</v>
      </c>
      <c r="K248" s="12">
        <v>40000</v>
      </c>
      <c r="L248" s="5" t="s">
        <v>55</v>
      </c>
      <c r="M248" s="6" t="s">
        <v>39</v>
      </c>
      <c r="N248" s="15">
        <v>21712</v>
      </c>
      <c r="O248" s="15">
        <v>34197</v>
      </c>
      <c r="P248" s="5"/>
      <c r="Q248" s="2" t="str">
        <f>INDEX(Table3[#All], MATCH(Table1[[#This Row],[Dept_Id]], Table3[[#All],[Dept_Id]], 0), 1)</f>
        <v>Research</v>
      </c>
      <c r="R248" s="22" t="str">
        <f>IF(Table1[[#This Row],[Left?]] = 1, (Table1[[#This Row],[New_Last_Date]]-Table1[[#This Row],[New_DoJ]])/365.25, "")</f>
        <v/>
      </c>
      <c r="S248" s="2" cm="1">
        <f t="array" ref="S24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48" s="2" t="str">
        <f>IF(Table1[[#This Row],[New_DoJ]] &gt;= EDATE( MAX(Table1[New_DoJ]), -24), "Yes", "No")</f>
        <v>No</v>
      </c>
    </row>
    <row r="249" spans="1:20" x14ac:dyDescent="0.3">
      <c r="A249" s="4">
        <v>10148</v>
      </c>
      <c r="B249" s="5" t="s">
        <v>683</v>
      </c>
      <c r="C249" s="5" t="s">
        <v>684</v>
      </c>
      <c r="D249" s="5" t="s">
        <v>685</v>
      </c>
      <c r="E249" s="5" t="s">
        <v>16</v>
      </c>
      <c r="F249" s="15">
        <v>34982</v>
      </c>
      <c r="G249" s="5">
        <v>1</v>
      </c>
      <c r="H249" s="5" t="s">
        <v>34</v>
      </c>
      <c r="I249" s="5">
        <v>0</v>
      </c>
      <c r="J249" s="5" t="s">
        <v>24</v>
      </c>
      <c r="K249" s="12">
        <v>63021</v>
      </c>
      <c r="L249" s="5" t="s">
        <v>38</v>
      </c>
      <c r="M249" s="6" t="s">
        <v>39</v>
      </c>
      <c r="N249" s="15">
        <v>21097</v>
      </c>
      <c r="O249" s="15">
        <v>34982</v>
      </c>
      <c r="P249" s="5"/>
      <c r="Q249" s="2" t="str">
        <f>INDEX(Table3[#All], MATCH(Table1[[#This Row],[Dept_Id]], Table3[[#All],[Dept_Id]], 0), 1)</f>
        <v>Sales</v>
      </c>
      <c r="R249" s="22" t="str">
        <f>IF(Table1[[#This Row],[Left?]] = 1, (Table1[[#This Row],[New_Last_Date]]-Table1[[#This Row],[New_DoJ]])/365.25, "")</f>
        <v/>
      </c>
      <c r="S249" s="2" cm="1">
        <f t="array" ref="S24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49" s="2" t="str">
        <f>IF(Table1[[#This Row],[New_DoJ]] &gt;= EDATE( MAX(Table1[New_DoJ]), -24), "Yes", "No")</f>
        <v>No</v>
      </c>
    </row>
    <row r="250" spans="1:20" x14ac:dyDescent="0.3">
      <c r="A250" s="4">
        <v>10149</v>
      </c>
      <c r="B250" s="5" t="s">
        <v>686</v>
      </c>
      <c r="C250" s="5" t="s">
        <v>687</v>
      </c>
      <c r="D250" s="5" t="s">
        <v>135</v>
      </c>
      <c r="E250" s="5" t="s">
        <v>33</v>
      </c>
      <c r="F250" s="15">
        <v>31721</v>
      </c>
      <c r="G250" s="5">
        <v>7</v>
      </c>
      <c r="H250" s="5" t="s">
        <v>34</v>
      </c>
      <c r="I250" s="5">
        <v>0</v>
      </c>
      <c r="J250" s="5" t="s">
        <v>24</v>
      </c>
      <c r="K250" s="12">
        <v>88740</v>
      </c>
      <c r="L250" s="5" t="s">
        <v>38</v>
      </c>
      <c r="M250" s="6" t="s">
        <v>39</v>
      </c>
      <c r="N250" s="15">
        <v>19499</v>
      </c>
      <c r="O250" s="15">
        <v>31721</v>
      </c>
      <c r="P250" s="5"/>
      <c r="Q250" s="2" t="str">
        <f>INDEX(Table3[#All], MATCH(Table1[[#This Row],[Dept_Id]], Table3[[#All],[Dept_Id]], 0), 1)</f>
        <v>Sales</v>
      </c>
      <c r="R250" s="22" t="str">
        <f>IF(Table1[[#This Row],[Left?]] = 1, (Table1[[#This Row],[New_Last_Date]]-Table1[[#This Row],[New_DoJ]])/365.25, "")</f>
        <v/>
      </c>
      <c r="S250" s="2" cm="1">
        <f t="array" ref="S25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50" s="2" t="str">
        <f>IF(Table1[[#This Row],[New_DoJ]] &gt;= EDATE( MAX(Table1[New_DoJ]), -24), "Yes", "No")</f>
        <v>No</v>
      </c>
    </row>
    <row r="251" spans="1:20" x14ac:dyDescent="0.3">
      <c r="A251" s="4">
        <v>37601</v>
      </c>
      <c r="B251" s="5" t="s">
        <v>688</v>
      </c>
      <c r="C251" s="5" t="s">
        <v>689</v>
      </c>
      <c r="D251" s="5" t="s">
        <v>690</v>
      </c>
      <c r="E251" s="5" t="s">
        <v>16</v>
      </c>
      <c r="F251" s="15">
        <v>33866</v>
      </c>
      <c r="G251" s="5">
        <v>1</v>
      </c>
      <c r="H251" s="5" t="s">
        <v>29</v>
      </c>
      <c r="I251" s="5">
        <v>0</v>
      </c>
      <c r="J251" s="5" t="s">
        <v>24</v>
      </c>
      <c r="K251" s="12">
        <v>58896</v>
      </c>
      <c r="L251" s="5" t="s">
        <v>38</v>
      </c>
      <c r="M251" s="6" t="s">
        <v>39</v>
      </c>
      <c r="N251" s="15">
        <v>22994</v>
      </c>
      <c r="O251" s="15">
        <v>33866</v>
      </c>
      <c r="P251" s="5"/>
      <c r="Q251" s="2" t="str">
        <f>INDEX(Table3[#All], MATCH(Table1[[#This Row],[Dept_Id]], Table3[[#All],[Dept_Id]], 0), 1)</f>
        <v>Sales</v>
      </c>
      <c r="R251" s="22" t="str">
        <f>IF(Table1[[#This Row],[Left?]] = 1, (Table1[[#This Row],[New_Last_Date]]-Table1[[#This Row],[New_DoJ]])/365.25, "")</f>
        <v/>
      </c>
      <c r="S251" s="2" cm="1">
        <f t="array" ref="S25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51" s="2" t="str">
        <f>IF(Table1[[#This Row],[New_DoJ]] &gt;= EDATE( MAX(Table1[New_DoJ]), -24), "Yes", "No")</f>
        <v>No</v>
      </c>
    </row>
    <row r="252" spans="1:20" x14ac:dyDescent="0.3">
      <c r="A252" s="4">
        <v>10150</v>
      </c>
      <c r="B252" s="5" t="s">
        <v>691</v>
      </c>
      <c r="C252" s="5" t="s">
        <v>692</v>
      </c>
      <c r="D252" s="5" t="s">
        <v>693</v>
      </c>
      <c r="E252" s="5" t="s">
        <v>33</v>
      </c>
      <c r="F252" s="15">
        <v>31732</v>
      </c>
      <c r="G252" s="5">
        <v>6</v>
      </c>
      <c r="H252" s="5" t="s">
        <v>29</v>
      </c>
      <c r="I252" s="5">
        <v>0</v>
      </c>
      <c r="J252" s="5" t="s">
        <v>24</v>
      </c>
      <c r="K252" s="12">
        <v>70122</v>
      </c>
      <c r="L252" s="5" t="s">
        <v>19</v>
      </c>
      <c r="M252" s="6" t="s">
        <v>20</v>
      </c>
      <c r="N252" s="15">
        <v>20118</v>
      </c>
      <c r="O252" s="15">
        <v>31732</v>
      </c>
      <c r="P252" s="5"/>
      <c r="Q252" s="2" t="str">
        <f>INDEX(Table3[#All], MATCH(Table1[[#This Row],[Dept_Id]], Table3[[#All],[Dept_Id]], 0), 1)</f>
        <v>Development</v>
      </c>
      <c r="R252" s="22" t="str">
        <f>IF(Table1[[#This Row],[Left?]] = 1, (Table1[[#This Row],[New_Last_Date]]-Table1[[#This Row],[New_DoJ]])/365.25, "")</f>
        <v/>
      </c>
      <c r="S252" s="2" cm="1">
        <f t="array" ref="S25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52" s="2" t="str">
        <f>IF(Table1[[#This Row],[New_DoJ]] &gt;= EDATE( MAX(Table1[New_DoJ]), -24), "Yes", "No")</f>
        <v>No</v>
      </c>
    </row>
    <row r="253" spans="1:20" x14ac:dyDescent="0.3">
      <c r="A253" s="4">
        <v>10151</v>
      </c>
      <c r="B253" s="5" t="s">
        <v>694</v>
      </c>
      <c r="C253" s="5" t="s">
        <v>695</v>
      </c>
      <c r="D253" s="5" t="s">
        <v>696</v>
      </c>
      <c r="E253" s="5" t="s">
        <v>16</v>
      </c>
      <c r="F253" s="15">
        <v>32973</v>
      </c>
      <c r="G253" s="5">
        <v>7</v>
      </c>
      <c r="H253" s="5" t="s">
        <v>17</v>
      </c>
      <c r="I253" s="5">
        <v>0</v>
      </c>
      <c r="J253" s="5" t="s">
        <v>24</v>
      </c>
      <c r="K253" s="12">
        <v>90741</v>
      </c>
      <c r="L253" s="5" t="s">
        <v>38</v>
      </c>
      <c r="M253" s="6" t="s">
        <v>39</v>
      </c>
      <c r="N253" s="15">
        <v>21615</v>
      </c>
      <c r="O253" s="15">
        <v>32973</v>
      </c>
      <c r="P253" s="5"/>
      <c r="Q253" s="2" t="str">
        <f>INDEX(Table3[#All], MATCH(Table1[[#This Row],[Dept_Id]], Table3[[#All],[Dept_Id]], 0), 1)</f>
        <v>Sales</v>
      </c>
      <c r="R253" s="22" t="str">
        <f>IF(Table1[[#This Row],[Left?]] = 1, (Table1[[#This Row],[New_Last_Date]]-Table1[[#This Row],[New_DoJ]])/365.25, "")</f>
        <v/>
      </c>
      <c r="S253" s="2" cm="1">
        <f t="array" ref="S25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53" s="2" t="str">
        <f>IF(Table1[[#This Row],[New_DoJ]] &gt;= EDATE( MAX(Table1[New_DoJ]), -24), "Yes", "No")</f>
        <v>No</v>
      </c>
    </row>
    <row r="254" spans="1:20" x14ac:dyDescent="0.3">
      <c r="A254" s="4">
        <v>437985</v>
      </c>
      <c r="B254" s="5" t="s">
        <v>697</v>
      </c>
      <c r="C254" s="5" t="s">
        <v>347</v>
      </c>
      <c r="D254" s="5" t="s">
        <v>698</v>
      </c>
      <c r="E254" s="5" t="s">
        <v>16</v>
      </c>
      <c r="F254" s="15">
        <v>31515</v>
      </c>
      <c r="G254" s="5">
        <v>4</v>
      </c>
      <c r="H254" s="5" t="s">
        <v>34</v>
      </c>
      <c r="I254" s="5">
        <v>0</v>
      </c>
      <c r="J254" s="5" t="s">
        <v>24</v>
      </c>
      <c r="K254" s="12">
        <v>53517</v>
      </c>
      <c r="L254" s="5" t="s">
        <v>38</v>
      </c>
      <c r="M254" s="6" t="s">
        <v>39</v>
      </c>
      <c r="N254" s="15">
        <v>19887</v>
      </c>
      <c r="O254" s="15">
        <v>31515</v>
      </c>
      <c r="P254" s="5"/>
      <c r="Q254" s="2" t="str">
        <f>INDEX(Table3[#All], MATCH(Table1[[#This Row],[Dept_Id]], Table3[[#All],[Dept_Id]], 0), 1)</f>
        <v>Sales</v>
      </c>
      <c r="R254" s="22" t="str">
        <f>IF(Table1[[#This Row],[Left?]] = 1, (Table1[[#This Row],[New_Last_Date]]-Table1[[#This Row],[New_DoJ]])/365.25, "")</f>
        <v/>
      </c>
      <c r="S254" s="2" cm="1">
        <f t="array" ref="S25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54" s="2" t="str">
        <f>IF(Table1[[#This Row],[New_DoJ]] &gt;= EDATE( MAX(Table1[New_DoJ]), -24), "Yes", "No")</f>
        <v>No</v>
      </c>
    </row>
    <row r="255" spans="1:20" x14ac:dyDescent="0.3">
      <c r="A255" s="4">
        <v>10152</v>
      </c>
      <c r="B255" s="5" t="s">
        <v>699</v>
      </c>
      <c r="C255" s="5" t="s">
        <v>700</v>
      </c>
      <c r="D255" s="5" t="s">
        <v>701</v>
      </c>
      <c r="E255" s="5" t="s">
        <v>33</v>
      </c>
      <c r="F255" s="15">
        <v>31439</v>
      </c>
      <c r="G255" s="5">
        <v>10</v>
      </c>
      <c r="H255" s="5" t="s">
        <v>17</v>
      </c>
      <c r="I255" s="5">
        <v>0</v>
      </c>
      <c r="J255" s="5" t="s">
        <v>24</v>
      </c>
      <c r="K255" s="12">
        <v>40000</v>
      </c>
      <c r="L255" s="5" t="s">
        <v>63</v>
      </c>
      <c r="M255" s="6" t="s">
        <v>50</v>
      </c>
      <c r="N255" s="15">
        <v>20059</v>
      </c>
      <c r="O255" s="15">
        <v>31439</v>
      </c>
      <c r="P255" s="5"/>
      <c r="Q255" s="2" t="str">
        <f>INDEX(Table3[#All], MATCH(Table1[[#This Row],[Dept_Id]], Table3[[#All],[Dept_Id]], 0), 1)</f>
        <v>Quality Management</v>
      </c>
      <c r="R255" s="22" t="str">
        <f>IF(Table1[[#This Row],[Left?]] = 1, (Table1[[#This Row],[New_Last_Date]]-Table1[[#This Row],[New_DoJ]])/365.25, "")</f>
        <v/>
      </c>
      <c r="S255" s="2" cm="1">
        <f t="array" ref="S25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55" s="2" t="str">
        <f>IF(Table1[[#This Row],[New_DoJ]] &gt;= EDATE( MAX(Table1[New_DoJ]), -24), "Yes", "No")</f>
        <v>No</v>
      </c>
    </row>
    <row r="256" spans="1:20" x14ac:dyDescent="0.3">
      <c r="A256" s="4">
        <v>10153</v>
      </c>
      <c r="B256" s="5" t="s">
        <v>702</v>
      </c>
      <c r="C256" s="5" t="s">
        <v>703</v>
      </c>
      <c r="D256" s="5" t="s">
        <v>704</v>
      </c>
      <c r="E256" s="5" t="s">
        <v>16</v>
      </c>
      <c r="F256" s="15">
        <v>31875</v>
      </c>
      <c r="G256" s="5">
        <v>3</v>
      </c>
      <c r="H256" s="5" t="s">
        <v>29</v>
      </c>
      <c r="I256" s="5">
        <v>0</v>
      </c>
      <c r="J256" s="5" t="s">
        <v>24</v>
      </c>
      <c r="K256" s="12">
        <v>54246</v>
      </c>
      <c r="L256" s="5" t="s">
        <v>19</v>
      </c>
      <c r="M256" s="6" t="s">
        <v>59</v>
      </c>
      <c r="N256" s="15">
        <v>20438</v>
      </c>
      <c r="O256" s="15">
        <v>31875</v>
      </c>
      <c r="P256" s="5"/>
      <c r="Q256" s="2" t="str">
        <f>INDEX(Table3[#All], MATCH(Table1[[#This Row],[Dept_Id]], Table3[[#All],[Dept_Id]], 0), 1)</f>
        <v>Development</v>
      </c>
      <c r="R256" s="22" t="str">
        <f>IF(Table1[[#This Row],[Left?]] = 1, (Table1[[#This Row],[New_Last_Date]]-Table1[[#This Row],[New_DoJ]])/365.25, "")</f>
        <v/>
      </c>
      <c r="S256" s="2" cm="1">
        <f t="array" ref="S25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56" s="2" t="str">
        <f>IF(Table1[[#This Row],[New_DoJ]] &gt;= EDATE( MAX(Table1[New_DoJ]), -24), "Yes", "No")</f>
        <v>No</v>
      </c>
    </row>
    <row r="257" spans="1:20" x14ac:dyDescent="0.3">
      <c r="A257" s="4">
        <v>14097</v>
      </c>
      <c r="B257" s="5" t="s">
        <v>705</v>
      </c>
      <c r="C257" s="5" t="s">
        <v>706</v>
      </c>
      <c r="D257" s="5" t="s">
        <v>707</v>
      </c>
      <c r="E257" s="5" t="s">
        <v>16</v>
      </c>
      <c r="F257" s="15">
        <v>33211</v>
      </c>
      <c r="G257" s="5">
        <v>6</v>
      </c>
      <c r="H257" s="5" t="s">
        <v>17</v>
      </c>
      <c r="I257" s="5">
        <v>0</v>
      </c>
      <c r="J257" s="5" t="s">
        <v>24</v>
      </c>
      <c r="K257" s="12">
        <v>70604</v>
      </c>
      <c r="L257" s="5" t="s">
        <v>92</v>
      </c>
      <c r="M257" s="6" t="s">
        <v>39</v>
      </c>
      <c r="N257" s="15">
        <v>23088</v>
      </c>
      <c r="O257" s="15">
        <v>33211</v>
      </c>
      <c r="P257" s="5"/>
      <c r="Q257" s="2" t="str">
        <f>INDEX(Table3[#All], MATCH(Table1[[#This Row],[Dept_Id]], Table3[[#All],[Dept_Id]], 0), 1)</f>
        <v>Finance</v>
      </c>
      <c r="R257" s="22" t="str">
        <f>IF(Table1[[#This Row],[Left?]] = 1, (Table1[[#This Row],[New_Last_Date]]-Table1[[#This Row],[New_DoJ]])/365.25, "")</f>
        <v/>
      </c>
      <c r="S257" s="2" cm="1">
        <f t="array" ref="S25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57" s="2" t="str">
        <f>IF(Table1[[#This Row],[New_DoJ]] &gt;= EDATE( MAX(Table1[New_DoJ]), -24), "Yes", "No")</f>
        <v>No</v>
      </c>
    </row>
    <row r="258" spans="1:20" x14ac:dyDescent="0.3">
      <c r="A258" s="4">
        <v>10154</v>
      </c>
      <c r="B258" s="5" t="s">
        <v>708</v>
      </c>
      <c r="C258" s="5" t="s">
        <v>123</v>
      </c>
      <c r="D258" s="5" t="s">
        <v>709</v>
      </c>
      <c r="E258" s="5" t="s">
        <v>33</v>
      </c>
      <c r="F258" s="15">
        <v>33219</v>
      </c>
      <c r="G258" s="5">
        <v>5</v>
      </c>
      <c r="H258" s="5" t="s">
        <v>17</v>
      </c>
      <c r="I258" s="5">
        <v>0</v>
      </c>
      <c r="J258" s="5" t="s">
        <v>24</v>
      </c>
      <c r="K258" s="12">
        <v>40000</v>
      </c>
      <c r="L258" s="5" t="s">
        <v>77</v>
      </c>
      <c r="M258" s="6" t="s">
        <v>39</v>
      </c>
      <c r="N258" s="15">
        <v>20837</v>
      </c>
      <c r="O258" s="15">
        <v>33219</v>
      </c>
      <c r="P258" s="5"/>
      <c r="Q258" s="2" t="str">
        <f>INDEX(Table3[#All], MATCH(Table1[[#This Row],[Dept_Id]], Table3[[#All],[Dept_Id]], 0), 1)</f>
        <v>Customer Service</v>
      </c>
      <c r="R258" s="22" t="str">
        <f>IF(Table1[[#This Row],[Left?]] = 1, (Table1[[#This Row],[New_Last_Date]]-Table1[[#This Row],[New_DoJ]])/365.25, "")</f>
        <v/>
      </c>
      <c r="S258" s="2" cm="1">
        <f t="array" ref="S25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58" s="2" t="str">
        <f>IF(Table1[[#This Row],[New_DoJ]] &gt;= EDATE( MAX(Table1[New_DoJ]), -24), "Yes", "No")</f>
        <v>No</v>
      </c>
    </row>
    <row r="259" spans="1:20" x14ac:dyDescent="0.3">
      <c r="A259" s="4">
        <v>10155</v>
      </c>
      <c r="B259" s="5" t="s">
        <v>710</v>
      </c>
      <c r="C259" s="5" t="s">
        <v>711</v>
      </c>
      <c r="D259" s="5" t="s">
        <v>712</v>
      </c>
      <c r="E259" s="5" t="s">
        <v>16</v>
      </c>
      <c r="F259" s="15">
        <v>32878</v>
      </c>
      <c r="G259" s="5">
        <v>7</v>
      </c>
      <c r="H259" s="5" t="s">
        <v>115</v>
      </c>
      <c r="I259" s="5">
        <v>0</v>
      </c>
      <c r="J259" s="5" t="s">
        <v>24</v>
      </c>
      <c r="K259" s="12">
        <v>40040</v>
      </c>
      <c r="L259" s="5" t="s">
        <v>25</v>
      </c>
      <c r="M259" s="6" t="s">
        <v>39</v>
      </c>
      <c r="N259" s="15">
        <v>21891</v>
      </c>
      <c r="O259" s="15">
        <v>32878</v>
      </c>
      <c r="P259" s="5"/>
      <c r="Q259" s="2" t="str">
        <f>INDEX(Table3[#All], MATCH(Table1[[#This Row],[Dept_Id]], Table3[[#All],[Dept_Id]], 0), 1)</f>
        <v>Production</v>
      </c>
      <c r="R259" s="22" t="str">
        <f>IF(Table1[[#This Row],[Left?]] = 1, (Table1[[#This Row],[New_Last_Date]]-Table1[[#This Row],[New_DoJ]])/365.25, "")</f>
        <v/>
      </c>
      <c r="S259" s="2" cm="1">
        <f t="array" ref="S25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259" s="2" t="str">
        <f>IF(Table1[[#This Row],[New_DoJ]] &gt;= EDATE( MAX(Table1[New_DoJ]), -24), "Yes", "No")</f>
        <v>No</v>
      </c>
    </row>
    <row r="260" spans="1:20" x14ac:dyDescent="0.3">
      <c r="A260" s="4">
        <v>10155</v>
      </c>
      <c r="B260" s="5" t="s">
        <v>710</v>
      </c>
      <c r="C260" s="5" t="s">
        <v>711</v>
      </c>
      <c r="D260" s="5" t="s">
        <v>712</v>
      </c>
      <c r="E260" s="5" t="s">
        <v>16</v>
      </c>
      <c r="F260" s="15">
        <v>32878</v>
      </c>
      <c r="G260" s="5">
        <v>7</v>
      </c>
      <c r="H260" s="5" t="s">
        <v>115</v>
      </c>
      <c r="I260" s="5">
        <v>0</v>
      </c>
      <c r="J260" s="5" t="s">
        <v>24</v>
      </c>
      <c r="K260" s="12">
        <v>40040</v>
      </c>
      <c r="L260" s="5" t="s">
        <v>55</v>
      </c>
      <c r="M260" s="6" t="s">
        <v>39</v>
      </c>
      <c r="N260" s="15">
        <v>21891</v>
      </c>
      <c r="O260" s="15">
        <v>32878</v>
      </c>
      <c r="P260" s="5"/>
      <c r="Q260" s="2" t="str">
        <f>INDEX(Table3[#All], MATCH(Table1[[#This Row],[Dept_Id]], Table3[[#All],[Dept_Id]], 0), 1)</f>
        <v>Research</v>
      </c>
      <c r="R260" s="22" t="str">
        <f>IF(Table1[[#This Row],[Left?]] = 1, (Table1[[#This Row],[New_Last_Date]]-Table1[[#This Row],[New_DoJ]])/365.25, "")</f>
        <v/>
      </c>
      <c r="S260" s="2" cm="1">
        <f t="array" ref="S26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260" s="2" t="str">
        <f>IF(Table1[[#This Row],[New_DoJ]] &gt;= EDATE( MAX(Table1[New_DoJ]), -24), "Yes", "No")</f>
        <v>No</v>
      </c>
    </row>
    <row r="261" spans="1:20" x14ac:dyDescent="0.3">
      <c r="A261" s="4">
        <v>221689</v>
      </c>
      <c r="B261" s="5" t="s">
        <v>713</v>
      </c>
      <c r="C261" s="5" t="s">
        <v>714</v>
      </c>
      <c r="D261" s="5" t="s">
        <v>715</v>
      </c>
      <c r="E261" s="5" t="s">
        <v>33</v>
      </c>
      <c r="F261" s="15">
        <v>31778</v>
      </c>
      <c r="G261" s="5">
        <v>8</v>
      </c>
      <c r="H261" s="5" t="s">
        <v>34</v>
      </c>
      <c r="I261" s="5">
        <v>0</v>
      </c>
      <c r="J261" s="5" t="s">
        <v>24</v>
      </c>
      <c r="K261" s="12">
        <v>67589</v>
      </c>
      <c r="L261" s="5" t="s">
        <v>19</v>
      </c>
      <c r="M261" s="6" t="s">
        <v>20</v>
      </c>
      <c r="N261" s="15">
        <v>21949</v>
      </c>
      <c r="O261" s="15">
        <v>31778</v>
      </c>
      <c r="P261" s="5"/>
      <c r="Q261" s="2" t="str">
        <f>INDEX(Table3[#All], MATCH(Table1[[#This Row],[Dept_Id]], Table3[[#All],[Dept_Id]], 0), 1)</f>
        <v>Development</v>
      </c>
      <c r="R261" s="22" t="str">
        <f>IF(Table1[[#This Row],[Left?]] = 1, (Table1[[#This Row],[New_Last_Date]]-Table1[[#This Row],[New_DoJ]])/365.25, "")</f>
        <v/>
      </c>
      <c r="S261" s="2" cm="1">
        <f t="array" ref="S26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61" s="2" t="str">
        <f>IF(Table1[[#This Row],[New_DoJ]] &gt;= EDATE( MAX(Table1[New_DoJ]), -24), "Yes", "No")</f>
        <v>No</v>
      </c>
    </row>
    <row r="262" spans="1:20" x14ac:dyDescent="0.3">
      <c r="A262" s="4">
        <v>10156</v>
      </c>
      <c r="B262" s="5" t="s">
        <v>231</v>
      </c>
      <c r="C262" s="5" t="s">
        <v>716</v>
      </c>
      <c r="D262" s="5" t="s">
        <v>717</v>
      </c>
      <c r="E262" s="5" t="s">
        <v>16</v>
      </c>
      <c r="F262" s="15">
        <v>31116</v>
      </c>
      <c r="G262" s="5">
        <v>5</v>
      </c>
      <c r="H262" s="5" t="s">
        <v>34</v>
      </c>
      <c r="I262" s="5">
        <v>0</v>
      </c>
      <c r="J262" s="5" t="s">
        <v>24</v>
      </c>
      <c r="K262" s="12">
        <v>49879</v>
      </c>
      <c r="L262" s="5" t="s">
        <v>63</v>
      </c>
      <c r="M262" s="6" t="s">
        <v>20</v>
      </c>
      <c r="N262" s="15">
        <v>23639</v>
      </c>
      <c r="O262" s="15">
        <v>31116</v>
      </c>
      <c r="P262" s="5"/>
      <c r="Q262" s="2" t="str">
        <f>INDEX(Table3[#All], MATCH(Table1[[#This Row],[Dept_Id]], Table3[[#All],[Dept_Id]], 0), 1)</f>
        <v>Quality Management</v>
      </c>
      <c r="R262" s="22" t="str">
        <f>IF(Table1[[#This Row],[Left?]] = 1, (Table1[[#This Row],[New_Last_Date]]-Table1[[#This Row],[New_DoJ]])/365.25, "")</f>
        <v/>
      </c>
      <c r="S262" s="2" cm="1">
        <f t="array" ref="S26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62" s="2" t="str">
        <f>IF(Table1[[#This Row],[New_DoJ]] &gt;= EDATE( MAX(Table1[New_DoJ]), -24), "Yes", "No")</f>
        <v>No</v>
      </c>
    </row>
    <row r="263" spans="1:20" x14ac:dyDescent="0.3">
      <c r="A263" s="4">
        <v>62117</v>
      </c>
      <c r="B263" s="5" t="s">
        <v>292</v>
      </c>
      <c r="C263" s="5" t="s">
        <v>138</v>
      </c>
      <c r="D263" s="5" t="s">
        <v>718</v>
      </c>
      <c r="E263" s="5" t="s">
        <v>33</v>
      </c>
      <c r="F263" s="15">
        <v>34495</v>
      </c>
      <c r="G263" s="5">
        <v>7</v>
      </c>
      <c r="H263" s="5" t="s">
        <v>34</v>
      </c>
      <c r="I263" s="5">
        <v>0</v>
      </c>
      <c r="J263" s="5" t="s">
        <v>24</v>
      </c>
      <c r="K263" s="12">
        <v>40000</v>
      </c>
      <c r="L263" s="5" t="s">
        <v>19</v>
      </c>
      <c r="M263" s="6" t="s">
        <v>20</v>
      </c>
      <c r="N263" s="15">
        <v>23553</v>
      </c>
      <c r="O263" s="15">
        <v>34495</v>
      </c>
      <c r="P263" s="5"/>
      <c r="Q263" s="2" t="str">
        <f>INDEX(Table3[#All], MATCH(Table1[[#This Row],[Dept_Id]], Table3[[#All],[Dept_Id]], 0), 1)</f>
        <v>Development</v>
      </c>
      <c r="R263" s="22" t="str">
        <f>IF(Table1[[#This Row],[Left?]] = 1, (Table1[[#This Row],[New_Last_Date]]-Table1[[#This Row],[New_DoJ]])/365.25, "")</f>
        <v/>
      </c>
      <c r="S263" s="2" cm="1">
        <f t="array" ref="S26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63" s="2" t="str">
        <f>IF(Table1[[#This Row],[New_DoJ]] &gt;= EDATE( MAX(Table1[New_DoJ]), -24), "Yes", "No")</f>
        <v>No</v>
      </c>
    </row>
    <row r="264" spans="1:20" x14ac:dyDescent="0.3">
      <c r="A264" s="4">
        <v>10157</v>
      </c>
      <c r="B264" s="5" t="s">
        <v>719</v>
      </c>
      <c r="C264" s="5" t="s">
        <v>720</v>
      </c>
      <c r="D264" s="5" t="s">
        <v>721</v>
      </c>
      <c r="E264" s="5" t="s">
        <v>16</v>
      </c>
      <c r="F264" s="15">
        <v>31353</v>
      </c>
      <c r="G264" s="5">
        <v>8</v>
      </c>
      <c r="H264" s="5" t="s">
        <v>17</v>
      </c>
      <c r="I264" s="5">
        <v>0</v>
      </c>
      <c r="J264" s="5" t="s">
        <v>24</v>
      </c>
      <c r="K264" s="12">
        <v>48770</v>
      </c>
      <c r="L264" s="5" t="s">
        <v>19</v>
      </c>
      <c r="M264" s="6" t="s">
        <v>20</v>
      </c>
      <c r="N264" s="15">
        <v>19837</v>
      </c>
      <c r="O264" s="15">
        <v>31353</v>
      </c>
      <c r="P264" s="5"/>
      <c r="Q264" s="2" t="str">
        <f>INDEX(Table3[#All], MATCH(Table1[[#This Row],[Dept_Id]], Table3[[#All],[Dept_Id]], 0), 1)</f>
        <v>Development</v>
      </c>
      <c r="R264" s="22" t="str">
        <f>IF(Table1[[#This Row],[Left?]] = 1, (Table1[[#This Row],[New_Last_Date]]-Table1[[#This Row],[New_DoJ]])/365.25, "")</f>
        <v/>
      </c>
      <c r="S264" s="2" cm="1">
        <f t="array" ref="S26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64" s="2" t="str">
        <f>IF(Table1[[#This Row],[New_DoJ]] &gt;= EDATE( MAX(Table1[New_DoJ]), -24), "Yes", "No")</f>
        <v>No</v>
      </c>
    </row>
    <row r="265" spans="1:20" x14ac:dyDescent="0.3">
      <c r="A265" s="4">
        <v>10158</v>
      </c>
      <c r="B265" s="5" t="s">
        <v>722</v>
      </c>
      <c r="C265" s="5" t="s">
        <v>723</v>
      </c>
      <c r="D265" s="5" t="s">
        <v>724</v>
      </c>
      <c r="E265" s="5" t="s">
        <v>16</v>
      </c>
      <c r="F265" s="15">
        <v>31441</v>
      </c>
      <c r="G265" s="5">
        <v>10</v>
      </c>
      <c r="H265" s="5" t="s">
        <v>29</v>
      </c>
      <c r="I265" s="5">
        <v>1</v>
      </c>
      <c r="J265" s="5" t="s">
        <v>725</v>
      </c>
      <c r="K265" s="12">
        <v>40725</v>
      </c>
      <c r="L265" s="5" t="s">
        <v>25</v>
      </c>
      <c r="M265" s="6" t="s">
        <v>20</v>
      </c>
      <c r="N265" s="15">
        <v>21276</v>
      </c>
      <c r="O265" s="15">
        <v>31441</v>
      </c>
      <c r="P265" s="15">
        <v>32258</v>
      </c>
      <c r="Q265" s="2" t="str">
        <f>INDEX(Table3[#All], MATCH(Table1[[#This Row],[Dept_Id]], Table3[[#All],[Dept_Id]], 0), 1)</f>
        <v>Production</v>
      </c>
      <c r="R265" s="22">
        <f>IF(Table1[[#This Row],[Left?]] = 1, (Table1[[#This Row],[New_Last_Date]]-Table1[[#This Row],[New_DoJ]])/365.25, "")</f>
        <v>2.236824093086927</v>
      </c>
      <c r="S265" s="2" cm="1">
        <f t="array" ref="S26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65" s="2" t="str">
        <f>IF(Table1[[#This Row],[New_DoJ]] &gt;= EDATE( MAX(Table1[New_DoJ]), -24), "Yes", "No")</f>
        <v>No</v>
      </c>
    </row>
    <row r="266" spans="1:20" x14ac:dyDescent="0.3">
      <c r="A266" s="4">
        <v>213813</v>
      </c>
      <c r="B266" s="5" t="s">
        <v>726</v>
      </c>
      <c r="C266" s="5" t="s">
        <v>727</v>
      </c>
      <c r="D266" s="5" t="s">
        <v>728</v>
      </c>
      <c r="E266" s="5" t="s">
        <v>16</v>
      </c>
      <c r="F266" s="15">
        <v>32515</v>
      </c>
      <c r="G266" s="5">
        <v>10</v>
      </c>
      <c r="H266" s="5" t="s">
        <v>34</v>
      </c>
      <c r="I266" s="5">
        <v>0</v>
      </c>
      <c r="J266" s="5" t="s">
        <v>24</v>
      </c>
      <c r="K266" s="12">
        <v>51196</v>
      </c>
      <c r="L266" s="5" t="s">
        <v>92</v>
      </c>
      <c r="M266" s="6" t="s">
        <v>39</v>
      </c>
      <c r="N266" s="15">
        <v>20281</v>
      </c>
      <c r="O266" s="15">
        <v>32515</v>
      </c>
      <c r="P266" s="5"/>
      <c r="Q266" s="2" t="str">
        <f>INDEX(Table3[#All], MATCH(Table1[[#This Row],[Dept_Id]], Table3[[#All],[Dept_Id]], 0), 1)</f>
        <v>Finance</v>
      </c>
      <c r="R266" s="22" t="str">
        <f>IF(Table1[[#This Row],[Left?]] = 1, (Table1[[#This Row],[New_Last_Date]]-Table1[[#This Row],[New_DoJ]])/365.25, "")</f>
        <v/>
      </c>
      <c r="S266" s="2" cm="1">
        <f t="array" ref="S26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66" s="2" t="str">
        <f>IF(Table1[[#This Row],[New_DoJ]] &gt;= EDATE( MAX(Table1[New_DoJ]), -24), "Yes", "No")</f>
        <v>No</v>
      </c>
    </row>
    <row r="267" spans="1:20" x14ac:dyDescent="0.3">
      <c r="A267" s="4">
        <v>10159</v>
      </c>
      <c r="B267" s="5" t="s">
        <v>729</v>
      </c>
      <c r="C267" s="5" t="s">
        <v>730</v>
      </c>
      <c r="D267" s="5" t="s">
        <v>731</v>
      </c>
      <c r="E267" s="5" t="s">
        <v>16</v>
      </c>
      <c r="F267" s="15">
        <v>33387</v>
      </c>
      <c r="G267" s="5">
        <v>5</v>
      </c>
      <c r="H267" s="5" t="s">
        <v>34</v>
      </c>
      <c r="I267" s="5">
        <v>0</v>
      </c>
      <c r="J267" s="5" t="s">
        <v>24</v>
      </c>
      <c r="K267" s="12">
        <v>52881</v>
      </c>
      <c r="L267" s="5" t="s">
        <v>63</v>
      </c>
      <c r="M267" s="6" t="s">
        <v>20</v>
      </c>
      <c r="N267" s="15">
        <v>20151</v>
      </c>
      <c r="O267" s="15">
        <v>33387</v>
      </c>
      <c r="P267" s="5"/>
      <c r="Q267" s="2" t="str">
        <f>INDEX(Table3[#All], MATCH(Table1[[#This Row],[Dept_Id]], Table3[[#All],[Dept_Id]], 0), 1)</f>
        <v>Quality Management</v>
      </c>
      <c r="R267" s="22" t="str">
        <f>IF(Table1[[#This Row],[Left?]] = 1, (Table1[[#This Row],[New_Last_Date]]-Table1[[#This Row],[New_DoJ]])/365.25, "")</f>
        <v/>
      </c>
      <c r="S267" s="2" cm="1">
        <f t="array" ref="S26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67" s="2" t="str">
        <f>IF(Table1[[#This Row],[New_DoJ]] &gt;= EDATE( MAX(Table1[New_DoJ]), -24), "Yes", "No")</f>
        <v>No</v>
      </c>
    </row>
    <row r="268" spans="1:20" x14ac:dyDescent="0.3">
      <c r="A268" s="4">
        <v>10160</v>
      </c>
      <c r="B268" s="5" t="s">
        <v>732</v>
      </c>
      <c r="C268" s="5" t="s">
        <v>733</v>
      </c>
      <c r="D268" s="5" t="s">
        <v>734</v>
      </c>
      <c r="E268" s="5" t="s">
        <v>16</v>
      </c>
      <c r="F268" s="15">
        <v>32538</v>
      </c>
      <c r="G268" s="5">
        <v>5</v>
      </c>
      <c r="H268" s="5" t="s">
        <v>17</v>
      </c>
      <c r="I268" s="5">
        <v>0</v>
      </c>
      <c r="J268" s="5" t="s">
        <v>24</v>
      </c>
      <c r="K268" s="12">
        <v>91622</v>
      </c>
      <c r="L268" s="5" t="s">
        <v>38</v>
      </c>
      <c r="M268" s="6" t="s">
        <v>39</v>
      </c>
      <c r="N268" s="15">
        <v>19650</v>
      </c>
      <c r="O268" s="15">
        <v>32538</v>
      </c>
      <c r="P268" s="5"/>
      <c r="Q268" s="2" t="str">
        <f>INDEX(Table3[#All], MATCH(Table1[[#This Row],[Dept_Id]], Table3[[#All],[Dept_Id]], 0), 1)</f>
        <v>Sales</v>
      </c>
      <c r="R268" s="22" t="str">
        <f>IF(Table1[[#This Row],[Left?]] = 1, (Table1[[#This Row],[New_Last_Date]]-Table1[[#This Row],[New_DoJ]])/365.25, "")</f>
        <v/>
      </c>
      <c r="S268" s="2" cm="1">
        <f t="array" ref="S26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68" s="2" t="str">
        <f>IF(Table1[[#This Row],[New_DoJ]] &gt;= EDATE( MAX(Table1[New_DoJ]), -24), "Yes", "No")</f>
        <v>No</v>
      </c>
    </row>
    <row r="269" spans="1:20" x14ac:dyDescent="0.3">
      <c r="A269" s="4">
        <v>28823</v>
      </c>
      <c r="B269" s="5" t="s">
        <v>735</v>
      </c>
      <c r="C269" s="5" t="s">
        <v>736</v>
      </c>
      <c r="D269" s="5" t="s">
        <v>737</v>
      </c>
      <c r="E269" s="5" t="s">
        <v>16</v>
      </c>
      <c r="F269" s="15">
        <v>32314</v>
      </c>
      <c r="G269" s="5">
        <v>2</v>
      </c>
      <c r="H269" s="5" t="s">
        <v>34</v>
      </c>
      <c r="I269" s="5">
        <v>0</v>
      </c>
      <c r="J269" s="5" t="s">
        <v>24</v>
      </c>
      <c r="K269" s="12">
        <v>62549</v>
      </c>
      <c r="L269" s="5" t="s">
        <v>38</v>
      </c>
      <c r="M269" s="6" t="s">
        <v>39</v>
      </c>
      <c r="N269" s="15">
        <v>21457</v>
      </c>
      <c r="O269" s="15">
        <v>32314</v>
      </c>
      <c r="P269" s="5"/>
      <c r="Q269" s="2" t="str">
        <f>INDEX(Table3[#All], MATCH(Table1[[#This Row],[Dept_Id]], Table3[[#All],[Dept_Id]], 0), 1)</f>
        <v>Sales</v>
      </c>
      <c r="R269" s="22" t="str">
        <f>IF(Table1[[#This Row],[Left?]] = 1, (Table1[[#This Row],[New_Last_Date]]-Table1[[#This Row],[New_DoJ]])/365.25, "")</f>
        <v/>
      </c>
      <c r="S269" s="2" cm="1">
        <f t="array" ref="S26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69" s="2" t="str">
        <f>IF(Table1[[#This Row],[New_DoJ]] &gt;= EDATE( MAX(Table1[New_DoJ]), -24), "Yes", "No")</f>
        <v>No</v>
      </c>
    </row>
    <row r="270" spans="1:20" x14ac:dyDescent="0.3">
      <c r="A270" s="4">
        <v>10161</v>
      </c>
      <c r="B270" s="5" t="s">
        <v>738</v>
      </c>
      <c r="C270" s="5" t="s">
        <v>299</v>
      </c>
      <c r="D270" s="5" t="s">
        <v>739</v>
      </c>
      <c r="E270" s="5" t="s">
        <v>33</v>
      </c>
      <c r="F270" s="15">
        <v>32236</v>
      </c>
      <c r="G270" s="5">
        <v>4</v>
      </c>
      <c r="H270" s="5" t="s">
        <v>29</v>
      </c>
      <c r="I270" s="5">
        <v>0</v>
      </c>
      <c r="J270" s="5" t="s">
        <v>24</v>
      </c>
      <c r="K270" s="12">
        <v>43149</v>
      </c>
      <c r="L270" s="5" t="s">
        <v>25</v>
      </c>
      <c r="M270" s="6" t="s">
        <v>50</v>
      </c>
      <c r="N270" s="15">
        <v>19455</v>
      </c>
      <c r="O270" s="15">
        <v>32236</v>
      </c>
      <c r="P270" s="5"/>
      <c r="Q270" s="2" t="str">
        <f>INDEX(Table3[#All], MATCH(Table1[[#This Row],[Dept_Id]], Table3[[#All],[Dept_Id]], 0), 1)</f>
        <v>Production</v>
      </c>
      <c r="R270" s="22" t="str">
        <f>IF(Table1[[#This Row],[Left?]] = 1, (Table1[[#This Row],[New_Last_Date]]-Table1[[#This Row],[New_DoJ]])/365.25, "")</f>
        <v/>
      </c>
      <c r="S270" s="2" cm="1">
        <f t="array" ref="S27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70" s="2" t="str">
        <f>IF(Table1[[#This Row],[New_DoJ]] &gt;= EDATE( MAX(Table1[New_DoJ]), -24), "Yes", "No")</f>
        <v>No</v>
      </c>
    </row>
    <row r="271" spans="1:20" x14ac:dyDescent="0.3">
      <c r="A271" s="4">
        <v>10162</v>
      </c>
      <c r="B271" s="5" t="s">
        <v>740</v>
      </c>
      <c r="C271" s="5" t="s">
        <v>741</v>
      </c>
      <c r="D271" s="5" t="s">
        <v>428</v>
      </c>
      <c r="E271" s="5" t="s">
        <v>16</v>
      </c>
      <c r="F271" s="15">
        <v>33359</v>
      </c>
      <c r="G271" s="5">
        <v>1</v>
      </c>
      <c r="H271" s="5" t="s">
        <v>17</v>
      </c>
      <c r="I271" s="5">
        <v>0</v>
      </c>
      <c r="J271" s="5" t="s">
        <v>24</v>
      </c>
      <c r="K271" s="12">
        <v>40000</v>
      </c>
      <c r="L271" s="5" t="s">
        <v>25</v>
      </c>
      <c r="M271" s="6" t="s">
        <v>50</v>
      </c>
      <c r="N271" s="15">
        <v>21098</v>
      </c>
      <c r="O271" s="15">
        <v>33359</v>
      </c>
      <c r="P271" s="5"/>
      <c r="Q271" s="2" t="str">
        <f>INDEX(Table3[#All], MATCH(Table1[[#This Row],[Dept_Id]], Table3[[#All],[Dept_Id]], 0), 1)</f>
        <v>Production</v>
      </c>
      <c r="R271" s="22" t="str">
        <f>IF(Table1[[#This Row],[Left?]] = 1, (Table1[[#This Row],[New_Last_Date]]-Table1[[#This Row],[New_DoJ]])/365.25, "")</f>
        <v/>
      </c>
      <c r="S271" s="2" cm="1">
        <f t="array" ref="S27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71" s="2" t="str">
        <f>IF(Table1[[#This Row],[New_DoJ]] &gt;= EDATE( MAX(Table1[New_DoJ]), -24), "Yes", "No")</f>
        <v>No</v>
      </c>
    </row>
    <row r="272" spans="1:20" x14ac:dyDescent="0.3">
      <c r="A272" s="4">
        <v>284330</v>
      </c>
      <c r="B272" s="5" t="s">
        <v>742</v>
      </c>
      <c r="C272" s="5" t="s">
        <v>743</v>
      </c>
      <c r="D272" s="5" t="s">
        <v>744</v>
      </c>
      <c r="E272" s="5" t="s">
        <v>33</v>
      </c>
      <c r="F272" s="15">
        <v>35338</v>
      </c>
      <c r="G272" s="5">
        <v>5</v>
      </c>
      <c r="H272" s="5" t="s">
        <v>29</v>
      </c>
      <c r="I272" s="5">
        <v>0</v>
      </c>
      <c r="J272" s="5" t="s">
        <v>24</v>
      </c>
      <c r="K272" s="12">
        <v>43654</v>
      </c>
      <c r="L272" s="5" t="s">
        <v>25</v>
      </c>
      <c r="M272" s="6" t="s">
        <v>50</v>
      </c>
      <c r="N272" s="15">
        <v>19819</v>
      </c>
      <c r="O272" s="15">
        <v>35338</v>
      </c>
      <c r="P272" s="5"/>
      <c r="Q272" s="2" t="str">
        <f>INDEX(Table3[#All], MATCH(Table1[[#This Row],[Dept_Id]], Table3[[#All],[Dept_Id]], 0), 1)</f>
        <v>Production</v>
      </c>
      <c r="R272" s="22" t="str">
        <f>IF(Table1[[#This Row],[Left?]] = 1, (Table1[[#This Row],[New_Last_Date]]-Table1[[#This Row],[New_DoJ]])/365.25, "")</f>
        <v/>
      </c>
      <c r="S272" s="2" cm="1">
        <f t="array" ref="S27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72" s="2" t="str">
        <f>IF(Table1[[#This Row],[New_DoJ]] &gt;= EDATE( MAX(Table1[New_DoJ]), -24), "Yes", "No")</f>
        <v>No</v>
      </c>
    </row>
    <row r="273" spans="1:20" x14ac:dyDescent="0.3">
      <c r="A273" s="4">
        <v>10163</v>
      </c>
      <c r="B273" s="5" t="s">
        <v>745</v>
      </c>
      <c r="C273" s="5" t="s">
        <v>173</v>
      </c>
      <c r="D273" s="5" t="s">
        <v>746</v>
      </c>
      <c r="E273" s="5" t="s">
        <v>16</v>
      </c>
      <c r="F273" s="15">
        <v>32708</v>
      </c>
      <c r="G273" s="5">
        <v>3</v>
      </c>
      <c r="H273" s="5" t="s">
        <v>17</v>
      </c>
      <c r="I273" s="5">
        <v>0</v>
      </c>
      <c r="J273" s="5" t="s">
        <v>24</v>
      </c>
      <c r="K273" s="12">
        <v>41603</v>
      </c>
      <c r="L273" s="5" t="s">
        <v>43</v>
      </c>
      <c r="M273" s="6" t="s">
        <v>87</v>
      </c>
      <c r="N273" s="15">
        <v>19254</v>
      </c>
      <c r="O273" s="15">
        <v>32708</v>
      </c>
      <c r="P273" s="5"/>
      <c r="Q273" s="2" t="str">
        <f>INDEX(Table3[#All], MATCH(Table1[[#This Row],[Dept_Id]], Table3[[#All],[Dept_Id]], 0), 1)</f>
        <v>Human Resources</v>
      </c>
      <c r="R273" s="22" t="str">
        <f>IF(Table1[[#This Row],[Left?]] = 1, (Table1[[#This Row],[New_Last_Date]]-Table1[[#This Row],[New_DoJ]])/365.25, "")</f>
        <v/>
      </c>
      <c r="S273" s="2" cm="1">
        <f t="array" ref="S27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73" s="2" t="str">
        <f>IF(Table1[[#This Row],[New_DoJ]] &gt;= EDATE( MAX(Table1[New_DoJ]), -24), "Yes", "No")</f>
        <v>No</v>
      </c>
    </row>
    <row r="274" spans="1:20" x14ac:dyDescent="0.3">
      <c r="A274" s="4">
        <v>10164</v>
      </c>
      <c r="B274" s="5" t="s">
        <v>747</v>
      </c>
      <c r="C274" s="5" t="s">
        <v>748</v>
      </c>
      <c r="D274" s="5" t="s">
        <v>749</v>
      </c>
      <c r="E274" s="5" t="s">
        <v>16</v>
      </c>
      <c r="F274" s="15">
        <v>31363</v>
      </c>
      <c r="G274" s="5">
        <v>9</v>
      </c>
      <c r="H274" s="5" t="s">
        <v>29</v>
      </c>
      <c r="I274" s="5">
        <v>0</v>
      </c>
      <c r="J274" s="5" t="s">
        <v>24</v>
      </c>
      <c r="K274" s="12">
        <v>52043</v>
      </c>
      <c r="L274" s="5" t="s">
        <v>25</v>
      </c>
      <c r="M274" s="6" t="s">
        <v>20</v>
      </c>
      <c r="N274" s="15">
        <v>20473</v>
      </c>
      <c r="O274" s="15">
        <v>31363</v>
      </c>
      <c r="P274" s="5"/>
      <c r="Q274" s="2" t="str">
        <f>INDEX(Table3[#All], MATCH(Table1[[#This Row],[Dept_Id]], Table3[[#All],[Dept_Id]], 0), 1)</f>
        <v>Production</v>
      </c>
      <c r="R274" s="22" t="str">
        <f>IF(Table1[[#This Row],[Left?]] = 1, (Table1[[#This Row],[New_Last_Date]]-Table1[[#This Row],[New_DoJ]])/365.25, "")</f>
        <v/>
      </c>
      <c r="S274" s="2" cm="1">
        <f t="array" ref="S27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74" s="2" t="str">
        <f>IF(Table1[[#This Row],[New_DoJ]] &gt;= EDATE( MAX(Table1[New_DoJ]), -24), "Yes", "No")</f>
        <v>No</v>
      </c>
    </row>
    <row r="275" spans="1:20" x14ac:dyDescent="0.3">
      <c r="A275" s="4">
        <v>10164</v>
      </c>
      <c r="B275" s="5" t="s">
        <v>747</v>
      </c>
      <c r="C275" s="5" t="s">
        <v>748</v>
      </c>
      <c r="D275" s="5" t="s">
        <v>749</v>
      </c>
      <c r="E275" s="5" t="s">
        <v>16</v>
      </c>
      <c r="F275" s="15">
        <v>31363</v>
      </c>
      <c r="G275" s="5">
        <v>9</v>
      </c>
      <c r="H275" s="5" t="s">
        <v>29</v>
      </c>
      <c r="I275" s="5">
        <v>0</v>
      </c>
      <c r="J275" s="5" t="s">
        <v>24</v>
      </c>
      <c r="K275" s="12">
        <v>52043</v>
      </c>
      <c r="L275" s="5" t="s">
        <v>77</v>
      </c>
      <c r="M275" s="6" t="s">
        <v>20</v>
      </c>
      <c r="N275" s="15">
        <v>20473</v>
      </c>
      <c r="O275" s="15">
        <v>31363</v>
      </c>
      <c r="P275" s="5"/>
      <c r="Q275" s="2" t="str">
        <f>INDEX(Table3[#All], MATCH(Table1[[#This Row],[Dept_Id]], Table3[[#All],[Dept_Id]], 0), 1)</f>
        <v>Customer Service</v>
      </c>
      <c r="R275" s="22" t="str">
        <f>IF(Table1[[#This Row],[Left?]] = 1, (Table1[[#This Row],[New_Last_Date]]-Table1[[#This Row],[New_DoJ]])/365.25, "")</f>
        <v/>
      </c>
      <c r="S275" s="2" cm="1">
        <f t="array" ref="S27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75" s="2" t="str">
        <f>IF(Table1[[#This Row],[New_DoJ]] &gt;= EDATE( MAX(Table1[New_DoJ]), -24), "Yes", "No")</f>
        <v>No</v>
      </c>
    </row>
    <row r="276" spans="1:20" x14ac:dyDescent="0.3">
      <c r="A276" s="4">
        <v>107258</v>
      </c>
      <c r="B276" s="5" t="s">
        <v>750</v>
      </c>
      <c r="C276" s="5" t="s">
        <v>405</v>
      </c>
      <c r="D276" s="5" t="s">
        <v>751</v>
      </c>
      <c r="E276" s="5" t="s">
        <v>33</v>
      </c>
      <c r="F276" s="15">
        <v>31871</v>
      </c>
      <c r="G276" s="5">
        <v>4</v>
      </c>
      <c r="H276" s="5" t="s">
        <v>29</v>
      </c>
      <c r="I276" s="5">
        <v>0</v>
      </c>
      <c r="J276" s="5" t="s">
        <v>24</v>
      </c>
      <c r="K276" s="12">
        <v>87036</v>
      </c>
      <c r="L276" s="5" t="s">
        <v>38</v>
      </c>
      <c r="M276" s="6" t="s">
        <v>39</v>
      </c>
      <c r="N276" s="15">
        <v>19714</v>
      </c>
      <c r="O276" s="15">
        <v>31871</v>
      </c>
      <c r="P276" s="5"/>
      <c r="Q276" s="2" t="str">
        <f>INDEX(Table3[#All], MATCH(Table1[[#This Row],[Dept_Id]], Table3[[#All],[Dept_Id]], 0), 1)</f>
        <v>Sales</v>
      </c>
      <c r="R276" s="22" t="str">
        <f>IF(Table1[[#This Row],[Left?]] = 1, (Table1[[#This Row],[New_Last_Date]]-Table1[[#This Row],[New_DoJ]])/365.25, "")</f>
        <v/>
      </c>
      <c r="S276" s="2" cm="1">
        <f t="array" ref="S27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76" s="2" t="str">
        <f>IF(Table1[[#This Row],[New_DoJ]] &gt;= EDATE( MAX(Table1[New_DoJ]), -24), "Yes", "No")</f>
        <v>No</v>
      </c>
    </row>
    <row r="277" spans="1:20" x14ac:dyDescent="0.3">
      <c r="A277" s="4">
        <v>10165</v>
      </c>
      <c r="B277" s="5" t="s">
        <v>752</v>
      </c>
      <c r="C277" s="5" t="s">
        <v>753</v>
      </c>
      <c r="D277" s="5" t="s">
        <v>754</v>
      </c>
      <c r="E277" s="5" t="s">
        <v>16</v>
      </c>
      <c r="F277" s="15">
        <v>32280</v>
      </c>
      <c r="G277" s="5">
        <v>5</v>
      </c>
      <c r="H277" s="5" t="s">
        <v>17</v>
      </c>
      <c r="I277" s="5">
        <v>0</v>
      </c>
      <c r="J277" s="5" t="s">
        <v>24</v>
      </c>
      <c r="K277" s="12">
        <v>43991</v>
      </c>
      <c r="L277" s="5" t="s">
        <v>92</v>
      </c>
      <c r="M277" s="6" t="s">
        <v>87</v>
      </c>
      <c r="N277" s="15">
        <v>22083</v>
      </c>
      <c r="O277" s="15">
        <v>32280</v>
      </c>
      <c r="P277" s="5"/>
      <c r="Q277" s="2" t="str">
        <f>INDEX(Table3[#All], MATCH(Table1[[#This Row],[Dept_Id]], Table3[[#All],[Dept_Id]], 0), 1)</f>
        <v>Finance</v>
      </c>
      <c r="R277" s="22" t="str">
        <f>IF(Table1[[#This Row],[Left?]] = 1, (Table1[[#This Row],[New_Last_Date]]-Table1[[#This Row],[New_DoJ]])/365.25, "")</f>
        <v/>
      </c>
      <c r="S277" s="2" cm="1">
        <f t="array" ref="S27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77" s="2" t="str">
        <f>IF(Table1[[#This Row],[New_DoJ]] &gt;= EDATE( MAX(Table1[New_DoJ]), -24), "Yes", "No")</f>
        <v>No</v>
      </c>
    </row>
    <row r="278" spans="1:20" x14ac:dyDescent="0.3">
      <c r="A278" s="4">
        <v>209527</v>
      </c>
      <c r="B278" s="5" t="s">
        <v>755</v>
      </c>
      <c r="C278" s="5" t="s">
        <v>756</v>
      </c>
      <c r="D278" s="5" t="s">
        <v>757</v>
      </c>
      <c r="E278" s="5" t="s">
        <v>16</v>
      </c>
      <c r="F278" s="15">
        <v>35825</v>
      </c>
      <c r="G278" s="5">
        <v>1</v>
      </c>
      <c r="H278" s="5" t="s">
        <v>29</v>
      </c>
      <c r="I278" s="5">
        <v>0</v>
      </c>
      <c r="J278" s="5" t="s">
        <v>24</v>
      </c>
      <c r="K278" s="12">
        <v>40000</v>
      </c>
      <c r="L278" s="5" t="s">
        <v>77</v>
      </c>
      <c r="M278" s="6" t="s">
        <v>39</v>
      </c>
      <c r="N278" s="15">
        <v>22915</v>
      </c>
      <c r="O278" s="15">
        <v>35825</v>
      </c>
      <c r="P278" s="5"/>
      <c r="Q278" s="2" t="str">
        <f>INDEX(Table3[#All], MATCH(Table1[[#This Row],[Dept_Id]], Table3[[#All],[Dept_Id]], 0), 1)</f>
        <v>Customer Service</v>
      </c>
      <c r="R278" s="22" t="str">
        <f>IF(Table1[[#This Row],[Left?]] = 1, (Table1[[#This Row],[New_Last_Date]]-Table1[[#This Row],[New_DoJ]])/365.25, "")</f>
        <v/>
      </c>
      <c r="S278" s="2" cm="1">
        <f t="array" ref="S27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78" s="2" t="str">
        <f>IF(Table1[[#This Row],[New_DoJ]] &gt;= EDATE( MAX(Table1[New_DoJ]), -24), "Yes", "No")</f>
        <v>Yes</v>
      </c>
    </row>
    <row r="279" spans="1:20" x14ac:dyDescent="0.3">
      <c r="A279" s="4">
        <v>10166</v>
      </c>
      <c r="B279" s="5" t="s">
        <v>758</v>
      </c>
      <c r="C279" s="5" t="s">
        <v>759</v>
      </c>
      <c r="D279" s="5" t="s">
        <v>760</v>
      </c>
      <c r="E279" s="5" t="s">
        <v>33</v>
      </c>
      <c r="F279" s="15">
        <v>33970</v>
      </c>
      <c r="G279" s="5">
        <v>9</v>
      </c>
      <c r="H279" s="5" t="s">
        <v>34</v>
      </c>
      <c r="I279" s="5">
        <v>0</v>
      </c>
      <c r="J279" s="5" t="s">
        <v>24</v>
      </c>
      <c r="K279" s="12">
        <v>51586</v>
      </c>
      <c r="L279" s="5" t="s">
        <v>19</v>
      </c>
      <c r="M279" s="6" t="s">
        <v>50</v>
      </c>
      <c r="N279" s="15">
        <v>19489</v>
      </c>
      <c r="O279" s="15">
        <v>33970</v>
      </c>
      <c r="P279" s="5"/>
      <c r="Q279" s="2" t="str">
        <f>INDEX(Table3[#All], MATCH(Table1[[#This Row],[Dept_Id]], Table3[[#All],[Dept_Id]], 0), 1)</f>
        <v>Development</v>
      </c>
      <c r="R279" s="22" t="str">
        <f>IF(Table1[[#This Row],[Left?]] = 1, (Table1[[#This Row],[New_Last_Date]]-Table1[[#This Row],[New_DoJ]])/365.25, "")</f>
        <v/>
      </c>
      <c r="S279" s="2" cm="1">
        <f t="array" ref="S27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79" s="2" t="str">
        <f>IF(Table1[[#This Row],[New_DoJ]] &gt;= EDATE( MAX(Table1[New_DoJ]), -24), "Yes", "No")</f>
        <v>No</v>
      </c>
    </row>
    <row r="280" spans="1:20" x14ac:dyDescent="0.3">
      <c r="A280" s="4">
        <v>10167</v>
      </c>
      <c r="B280" s="5" t="s">
        <v>761</v>
      </c>
      <c r="C280" s="5" t="s">
        <v>68</v>
      </c>
      <c r="D280" s="5" t="s">
        <v>762</v>
      </c>
      <c r="E280" s="5" t="s">
        <v>16</v>
      </c>
      <c r="F280" s="15">
        <v>33698</v>
      </c>
      <c r="G280" s="5">
        <v>5</v>
      </c>
      <c r="H280" s="5" t="s">
        <v>115</v>
      </c>
      <c r="I280" s="5">
        <v>0</v>
      </c>
      <c r="J280" s="5" t="s">
        <v>24</v>
      </c>
      <c r="K280" s="12">
        <v>56990</v>
      </c>
      <c r="L280" s="5" t="s">
        <v>25</v>
      </c>
      <c r="M280" s="6" t="s">
        <v>20</v>
      </c>
      <c r="N280" s="15">
        <v>21328</v>
      </c>
      <c r="O280" s="15">
        <v>33698</v>
      </c>
      <c r="P280" s="5"/>
      <c r="Q280" s="2" t="str">
        <f>INDEX(Table3[#All], MATCH(Table1[[#This Row],[Dept_Id]], Table3[[#All],[Dept_Id]], 0), 1)</f>
        <v>Production</v>
      </c>
      <c r="R280" s="22" t="str">
        <f>IF(Table1[[#This Row],[Left?]] = 1, (Table1[[#This Row],[New_Last_Date]]-Table1[[#This Row],[New_DoJ]])/365.25, "")</f>
        <v/>
      </c>
      <c r="S280" s="2" cm="1">
        <f t="array" ref="S28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280" s="2" t="str">
        <f>IF(Table1[[#This Row],[New_DoJ]] &gt;= EDATE( MAX(Table1[New_DoJ]), -24), "Yes", "No")</f>
        <v>No</v>
      </c>
    </row>
    <row r="281" spans="1:20" x14ac:dyDescent="0.3">
      <c r="A281" s="4">
        <v>207774</v>
      </c>
      <c r="B281" s="5" t="s">
        <v>763</v>
      </c>
      <c r="C281" s="5" t="s">
        <v>764</v>
      </c>
      <c r="D281" s="5" t="s">
        <v>765</v>
      </c>
      <c r="E281" s="5" t="s">
        <v>16</v>
      </c>
      <c r="F281" s="15">
        <v>32265</v>
      </c>
      <c r="G281" s="5">
        <v>2</v>
      </c>
      <c r="H281" s="5" t="s">
        <v>34</v>
      </c>
      <c r="I281" s="5">
        <v>0</v>
      </c>
      <c r="J281" s="5" t="s">
        <v>24</v>
      </c>
      <c r="K281" s="12">
        <v>53722</v>
      </c>
      <c r="L281" s="5" t="s">
        <v>43</v>
      </c>
      <c r="M281" s="6" t="s">
        <v>39</v>
      </c>
      <c r="N281" s="15">
        <v>19588</v>
      </c>
      <c r="O281" s="15">
        <v>32265</v>
      </c>
      <c r="P281" s="5"/>
      <c r="Q281" s="2" t="str">
        <f>INDEX(Table3[#All], MATCH(Table1[[#This Row],[Dept_Id]], Table3[[#All],[Dept_Id]], 0), 1)</f>
        <v>Human Resources</v>
      </c>
      <c r="R281" s="22" t="str">
        <f>IF(Table1[[#This Row],[Left?]] = 1, (Table1[[#This Row],[New_Last_Date]]-Table1[[#This Row],[New_DoJ]])/365.25, "")</f>
        <v/>
      </c>
      <c r="S281" s="2" cm="1">
        <f t="array" ref="S28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81" s="2" t="str">
        <f>IF(Table1[[#This Row],[New_DoJ]] &gt;= EDATE( MAX(Table1[New_DoJ]), -24), "Yes", "No")</f>
        <v>No</v>
      </c>
    </row>
    <row r="282" spans="1:20" x14ac:dyDescent="0.3">
      <c r="A282" s="4">
        <v>10168</v>
      </c>
      <c r="B282" s="5" t="s">
        <v>766</v>
      </c>
      <c r="C282" s="5" t="s">
        <v>767</v>
      </c>
      <c r="D282" s="5" t="s">
        <v>768</v>
      </c>
      <c r="E282" s="5" t="s">
        <v>16</v>
      </c>
      <c r="F282" s="15">
        <v>31752</v>
      </c>
      <c r="G282" s="5">
        <v>1</v>
      </c>
      <c r="H282" s="5" t="s">
        <v>17</v>
      </c>
      <c r="I282" s="5">
        <v>0</v>
      </c>
      <c r="J282" s="5" t="s">
        <v>24</v>
      </c>
      <c r="K282" s="12">
        <v>51818</v>
      </c>
      <c r="L282" s="5" t="s">
        <v>55</v>
      </c>
      <c r="M282" s="6" t="s">
        <v>39</v>
      </c>
      <c r="N282" s="15">
        <v>23631</v>
      </c>
      <c r="O282" s="15">
        <v>31752</v>
      </c>
      <c r="P282" s="5"/>
      <c r="Q282" s="2" t="str">
        <f>INDEX(Table3[#All], MATCH(Table1[[#This Row],[Dept_Id]], Table3[[#All],[Dept_Id]], 0), 1)</f>
        <v>Research</v>
      </c>
      <c r="R282" s="22" t="str">
        <f>IF(Table1[[#This Row],[Left?]] = 1, (Table1[[#This Row],[New_Last_Date]]-Table1[[#This Row],[New_DoJ]])/365.25, "")</f>
        <v/>
      </c>
      <c r="S282" s="2" cm="1">
        <f t="array" ref="S28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82" s="2" t="str">
        <f>IF(Table1[[#This Row],[New_DoJ]] &gt;= EDATE( MAX(Table1[New_DoJ]), -24), "Yes", "No")</f>
        <v>No</v>
      </c>
    </row>
    <row r="283" spans="1:20" x14ac:dyDescent="0.3">
      <c r="A283" s="4">
        <v>10169</v>
      </c>
      <c r="B283" s="5" t="s">
        <v>769</v>
      </c>
      <c r="C283" s="5" t="s">
        <v>770</v>
      </c>
      <c r="D283" s="5" t="s">
        <v>771</v>
      </c>
      <c r="E283" s="5" t="s">
        <v>33</v>
      </c>
      <c r="F283" s="15">
        <v>33809</v>
      </c>
      <c r="G283" s="5">
        <v>6</v>
      </c>
      <c r="H283" s="5" t="s">
        <v>17</v>
      </c>
      <c r="I283" s="5">
        <v>0</v>
      </c>
      <c r="J283" s="5" t="s">
        <v>24</v>
      </c>
      <c r="K283" s="12">
        <v>70303</v>
      </c>
      <c r="L283" s="5" t="s">
        <v>19</v>
      </c>
      <c r="M283" s="6" t="s">
        <v>50</v>
      </c>
      <c r="N283" s="15">
        <v>22404</v>
      </c>
      <c r="O283" s="15">
        <v>33809</v>
      </c>
      <c r="P283" s="5"/>
      <c r="Q283" s="2" t="str">
        <f>INDEX(Table3[#All], MATCH(Table1[[#This Row],[Dept_Id]], Table3[[#All],[Dept_Id]], 0), 1)</f>
        <v>Development</v>
      </c>
      <c r="R283" s="22" t="str">
        <f>IF(Table1[[#This Row],[Left?]] = 1, (Table1[[#This Row],[New_Last_Date]]-Table1[[#This Row],[New_DoJ]])/365.25, "")</f>
        <v/>
      </c>
      <c r="S283" s="2" cm="1">
        <f t="array" ref="S28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83" s="2" t="str">
        <f>IF(Table1[[#This Row],[New_DoJ]] &gt;= EDATE( MAX(Table1[New_DoJ]), -24), "Yes", "No")</f>
        <v>No</v>
      </c>
    </row>
    <row r="284" spans="1:20" x14ac:dyDescent="0.3">
      <c r="A284" s="4">
        <v>11980</v>
      </c>
      <c r="B284" s="5" t="s">
        <v>772</v>
      </c>
      <c r="C284" s="5" t="s">
        <v>773</v>
      </c>
      <c r="D284" s="5" t="s">
        <v>774</v>
      </c>
      <c r="E284" s="5" t="s">
        <v>16</v>
      </c>
      <c r="F284" s="15">
        <v>33623</v>
      </c>
      <c r="G284" s="5">
        <v>10</v>
      </c>
      <c r="H284" s="5" t="s">
        <v>34</v>
      </c>
      <c r="I284" s="5">
        <v>0</v>
      </c>
      <c r="J284" s="5" t="s">
        <v>24</v>
      </c>
      <c r="K284" s="12">
        <v>58241</v>
      </c>
      <c r="L284" s="5" t="s">
        <v>38</v>
      </c>
      <c r="M284" s="6" t="s">
        <v>39</v>
      </c>
      <c r="N284" s="15">
        <v>20273</v>
      </c>
      <c r="O284" s="15">
        <v>33623</v>
      </c>
      <c r="P284" s="5"/>
      <c r="Q284" s="2" t="str">
        <f>INDEX(Table3[#All], MATCH(Table1[[#This Row],[Dept_Id]], Table3[[#All],[Dept_Id]], 0), 1)</f>
        <v>Sales</v>
      </c>
      <c r="R284" s="22" t="str">
        <f>IF(Table1[[#This Row],[Left?]] = 1, (Table1[[#This Row],[New_Last_Date]]-Table1[[#This Row],[New_DoJ]])/365.25, "")</f>
        <v/>
      </c>
      <c r="S284" s="2" cm="1">
        <f t="array" ref="S28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84" s="2" t="str">
        <f>IF(Table1[[#This Row],[New_DoJ]] &gt;= EDATE( MAX(Table1[New_DoJ]), -24), "Yes", "No")</f>
        <v>No</v>
      </c>
    </row>
    <row r="285" spans="1:20" x14ac:dyDescent="0.3">
      <c r="A285" s="4">
        <v>10170</v>
      </c>
      <c r="B285" s="5" t="s">
        <v>775</v>
      </c>
      <c r="C285" s="5" t="s">
        <v>776</v>
      </c>
      <c r="D285" s="5" t="s">
        <v>777</v>
      </c>
      <c r="E285" s="5" t="s">
        <v>33</v>
      </c>
      <c r="F285" s="15">
        <v>31414</v>
      </c>
      <c r="G285" s="5">
        <v>6</v>
      </c>
      <c r="H285" s="5" t="s">
        <v>17</v>
      </c>
      <c r="I285" s="5">
        <v>0</v>
      </c>
      <c r="J285" s="5" t="s">
        <v>24</v>
      </c>
      <c r="K285" s="12">
        <v>47183</v>
      </c>
      <c r="L285" s="5" t="s">
        <v>25</v>
      </c>
      <c r="M285" s="6" t="s">
        <v>50</v>
      </c>
      <c r="N285" s="15">
        <v>22192</v>
      </c>
      <c r="O285" s="15">
        <v>31414</v>
      </c>
      <c r="P285" s="5"/>
      <c r="Q285" s="2" t="str">
        <f>INDEX(Table3[#All], MATCH(Table1[[#This Row],[Dept_Id]], Table3[[#All],[Dept_Id]], 0), 1)</f>
        <v>Production</v>
      </c>
      <c r="R285" s="22" t="str">
        <f>IF(Table1[[#This Row],[Left?]] = 1, (Table1[[#This Row],[New_Last_Date]]-Table1[[#This Row],[New_DoJ]])/365.25, "")</f>
        <v/>
      </c>
      <c r="S285" s="2" cm="1">
        <f t="array" ref="S28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85" s="2" t="str">
        <f>IF(Table1[[#This Row],[New_DoJ]] &gt;= EDATE( MAX(Table1[New_DoJ]), -24), "Yes", "No")</f>
        <v>No</v>
      </c>
    </row>
    <row r="286" spans="1:20" x14ac:dyDescent="0.3">
      <c r="A286" s="4">
        <v>10171</v>
      </c>
      <c r="B286" s="5" t="s">
        <v>778</v>
      </c>
      <c r="C286" s="5" t="s">
        <v>779</v>
      </c>
      <c r="D286" s="5" t="s">
        <v>765</v>
      </c>
      <c r="E286" s="5" t="s">
        <v>16</v>
      </c>
      <c r="F286" s="15">
        <v>32711</v>
      </c>
      <c r="G286" s="5">
        <v>2</v>
      </c>
      <c r="H286" s="5" t="s">
        <v>34</v>
      </c>
      <c r="I286" s="5">
        <v>0</v>
      </c>
      <c r="J286" s="5" t="s">
        <v>24</v>
      </c>
      <c r="K286" s="12">
        <v>41311</v>
      </c>
      <c r="L286" s="5" t="s">
        <v>25</v>
      </c>
      <c r="M286" s="6" t="s">
        <v>129</v>
      </c>
      <c r="N286" s="15">
        <v>21074</v>
      </c>
      <c r="O286" s="15">
        <v>32711</v>
      </c>
      <c r="P286" s="5"/>
      <c r="Q286" s="2" t="str">
        <f>INDEX(Table3[#All], MATCH(Table1[[#This Row],[Dept_Id]], Table3[[#All],[Dept_Id]], 0), 1)</f>
        <v>Production</v>
      </c>
      <c r="R286" s="22" t="str">
        <f>IF(Table1[[#This Row],[Left?]] = 1, (Table1[[#This Row],[New_Last_Date]]-Table1[[#This Row],[New_DoJ]])/365.25, "")</f>
        <v/>
      </c>
      <c r="S286" s="2" cm="1">
        <f t="array" ref="S28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86" s="2" t="str">
        <f>IF(Table1[[#This Row],[New_DoJ]] &gt;= EDATE( MAX(Table1[New_DoJ]), -24), "Yes", "No")</f>
        <v>No</v>
      </c>
    </row>
    <row r="287" spans="1:20" x14ac:dyDescent="0.3">
      <c r="A287" s="4">
        <v>270258</v>
      </c>
      <c r="B287" s="5" t="s">
        <v>780</v>
      </c>
      <c r="C287" s="5" t="s">
        <v>781</v>
      </c>
      <c r="D287" s="5" t="s">
        <v>782</v>
      </c>
      <c r="E287" s="5" t="s">
        <v>16</v>
      </c>
      <c r="F287" s="15">
        <v>34763</v>
      </c>
      <c r="G287" s="5">
        <v>4</v>
      </c>
      <c r="H287" s="5" t="s">
        <v>34</v>
      </c>
      <c r="I287" s="5">
        <v>0</v>
      </c>
      <c r="J287" s="5" t="s">
        <v>24</v>
      </c>
      <c r="K287" s="12">
        <v>40000</v>
      </c>
      <c r="L287" s="5" t="s">
        <v>25</v>
      </c>
      <c r="M287" s="6" t="s">
        <v>20</v>
      </c>
      <c r="N287" s="15">
        <v>19454</v>
      </c>
      <c r="O287" s="15">
        <v>34763</v>
      </c>
      <c r="P287" s="5"/>
      <c r="Q287" s="2" t="str">
        <f>INDEX(Table3[#All], MATCH(Table1[[#This Row],[Dept_Id]], Table3[[#All],[Dept_Id]], 0), 1)</f>
        <v>Production</v>
      </c>
      <c r="R287" s="22" t="str">
        <f>IF(Table1[[#This Row],[Left?]] = 1, (Table1[[#This Row],[New_Last_Date]]-Table1[[#This Row],[New_DoJ]])/365.25, "")</f>
        <v/>
      </c>
      <c r="S287" s="2" cm="1">
        <f t="array" ref="S28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87" s="2" t="str">
        <f>IF(Table1[[#This Row],[New_DoJ]] &gt;= EDATE( MAX(Table1[New_DoJ]), -24), "Yes", "No")</f>
        <v>No</v>
      </c>
    </row>
    <row r="288" spans="1:20" x14ac:dyDescent="0.3">
      <c r="A288" s="4">
        <v>10172</v>
      </c>
      <c r="B288" s="5" t="s">
        <v>783</v>
      </c>
      <c r="C288" s="5" t="s">
        <v>399</v>
      </c>
      <c r="D288" s="5" t="s">
        <v>784</v>
      </c>
      <c r="E288" s="5" t="s">
        <v>33</v>
      </c>
      <c r="F288" s="15">
        <v>34985</v>
      </c>
      <c r="G288" s="5">
        <v>9</v>
      </c>
      <c r="H288" s="5" t="s">
        <v>17</v>
      </c>
      <c r="I288" s="5">
        <v>0</v>
      </c>
      <c r="J288" s="5" t="s">
        <v>24</v>
      </c>
      <c r="K288" s="12">
        <v>41197</v>
      </c>
      <c r="L288" s="5" t="s">
        <v>19</v>
      </c>
      <c r="M288" s="6" t="s">
        <v>50</v>
      </c>
      <c r="N288" s="15">
        <v>20904</v>
      </c>
      <c r="O288" s="15">
        <v>34985</v>
      </c>
      <c r="P288" s="5"/>
      <c r="Q288" s="2" t="str">
        <f>INDEX(Table3[#All], MATCH(Table1[[#This Row],[Dept_Id]], Table3[[#All],[Dept_Id]], 0), 1)</f>
        <v>Development</v>
      </c>
      <c r="R288" s="22" t="str">
        <f>IF(Table1[[#This Row],[Left?]] = 1, (Table1[[#This Row],[New_Last_Date]]-Table1[[#This Row],[New_DoJ]])/365.25, "")</f>
        <v/>
      </c>
      <c r="S288" s="2" cm="1">
        <f t="array" ref="S28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88" s="2" t="str">
        <f>IF(Table1[[#This Row],[New_DoJ]] &gt;= EDATE( MAX(Table1[New_DoJ]), -24), "Yes", "No")</f>
        <v>No</v>
      </c>
    </row>
    <row r="289" spans="1:20" x14ac:dyDescent="0.3">
      <c r="A289" s="4">
        <v>10172</v>
      </c>
      <c r="B289" s="5" t="s">
        <v>783</v>
      </c>
      <c r="C289" s="5" t="s">
        <v>399</v>
      </c>
      <c r="D289" s="5" t="s">
        <v>784</v>
      </c>
      <c r="E289" s="5" t="s">
        <v>33</v>
      </c>
      <c r="F289" s="15">
        <v>34985</v>
      </c>
      <c r="G289" s="5">
        <v>9</v>
      </c>
      <c r="H289" s="5" t="s">
        <v>17</v>
      </c>
      <c r="I289" s="5">
        <v>0</v>
      </c>
      <c r="J289" s="5" t="s">
        <v>24</v>
      </c>
      <c r="K289" s="12">
        <v>41197</v>
      </c>
      <c r="L289" s="5" t="s">
        <v>55</v>
      </c>
      <c r="M289" s="6" t="s">
        <v>50</v>
      </c>
      <c r="N289" s="15">
        <v>20904</v>
      </c>
      <c r="O289" s="15">
        <v>34985</v>
      </c>
      <c r="P289" s="5"/>
      <c r="Q289" s="2" t="str">
        <f>INDEX(Table3[#All], MATCH(Table1[[#This Row],[Dept_Id]], Table3[[#All],[Dept_Id]], 0), 1)</f>
        <v>Research</v>
      </c>
      <c r="R289" s="22" t="str">
        <f>IF(Table1[[#This Row],[Left?]] = 1, (Table1[[#This Row],[New_Last_Date]]-Table1[[#This Row],[New_DoJ]])/365.25, "")</f>
        <v/>
      </c>
      <c r="S289" s="2" cm="1">
        <f t="array" ref="S28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89" s="2" t="str">
        <f>IF(Table1[[#This Row],[New_DoJ]] &gt;= EDATE( MAX(Table1[New_DoJ]), -24), "Yes", "No")</f>
        <v>No</v>
      </c>
    </row>
    <row r="290" spans="1:20" x14ac:dyDescent="0.3">
      <c r="A290" s="4">
        <v>10173</v>
      </c>
      <c r="B290" s="5" t="s">
        <v>785</v>
      </c>
      <c r="C290" s="5" t="s">
        <v>786</v>
      </c>
      <c r="D290" s="5" t="s">
        <v>787</v>
      </c>
      <c r="E290" s="5" t="s">
        <v>16</v>
      </c>
      <c r="F290" s="15">
        <v>33684</v>
      </c>
      <c r="G290" s="5">
        <v>8</v>
      </c>
      <c r="H290" s="5" t="s">
        <v>115</v>
      </c>
      <c r="I290" s="5">
        <v>0</v>
      </c>
      <c r="J290" s="5" t="s">
        <v>24</v>
      </c>
      <c r="K290" s="12">
        <v>85757</v>
      </c>
      <c r="L290" s="5" t="s">
        <v>92</v>
      </c>
      <c r="M290" s="6" t="s">
        <v>39</v>
      </c>
      <c r="N290" s="15">
        <v>22947</v>
      </c>
      <c r="O290" s="15">
        <v>33684</v>
      </c>
      <c r="P290" s="5"/>
      <c r="Q290" s="2" t="str">
        <f>INDEX(Table3[#All], MATCH(Table1[[#This Row],[Dept_Id]], Table3[[#All],[Dept_Id]], 0), 1)</f>
        <v>Finance</v>
      </c>
      <c r="R290" s="22" t="str">
        <f>IF(Table1[[#This Row],[Left?]] = 1, (Table1[[#This Row],[New_Last_Date]]-Table1[[#This Row],[New_DoJ]])/365.25, "")</f>
        <v/>
      </c>
      <c r="S290" s="2" cm="1">
        <f t="array" ref="S29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290" s="2" t="str">
        <f>IF(Table1[[#This Row],[New_DoJ]] &gt;= EDATE( MAX(Table1[New_DoJ]), -24), "Yes", "No")</f>
        <v>No</v>
      </c>
    </row>
    <row r="291" spans="1:20" x14ac:dyDescent="0.3">
      <c r="A291" s="4">
        <v>10174</v>
      </c>
      <c r="B291" s="5" t="s">
        <v>788</v>
      </c>
      <c r="C291" s="5" t="s">
        <v>789</v>
      </c>
      <c r="D291" s="5" t="s">
        <v>790</v>
      </c>
      <c r="E291" s="5" t="s">
        <v>16</v>
      </c>
      <c r="F291" s="15">
        <v>31929</v>
      </c>
      <c r="G291" s="5">
        <v>6</v>
      </c>
      <c r="H291" s="5" t="s">
        <v>34</v>
      </c>
      <c r="I291" s="5">
        <v>0</v>
      </c>
      <c r="J291" s="5" t="s">
        <v>24</v>
      </c>
      <c r="K291" s="12">
        <v>59520</v>
      </c>
      <c r="L291" s="5" t="s">
        <v>25</v>
      </c>
      <c r="M291" s="6" t="s">
        <v>20</v>
      </c>
      <c r="N291" s="15">
        <v>21685</v>
      </c>
      <c r="O291" s="15">
        <v>31929</v>
      </c>
      <c r="P291" s="5"/>
      <c r="Q291" s="2" t="str">
        <f>INDEX(Table3[#All], MATCH(Table1[[#This Row],[Dept_Id]], Table3[[#All],[Dept_Id]], 0), 1)</f>
        <v>Production</v>
      </c>
      <c r="R291" s="22" t="str">
        <f>IF(Table1[[#This Row],[Left?]] = 1, (Table1[[#This Row],[New_Last_Date]]-Table1[[#This Row],[New_DoJ]])/365.25, "")</f>
        <v/>
      </c>
      <c r="S291" s="2" cm="1">
        <f t="array" ref="S29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91" s="2" t="str">
        <f>IF(Table1[[#This Row],[New_DoJ]] &gt;= EDATE( MAX(Table1[New_DoJ]), -24), "Yes", "No")</f>
        <v>No</v>
      </c>
    </row>
    <row r="292" spans="1:20" x14ac:dyDescent="0.3">
      <c r="A292" s="4">
        <v>457800</v>
      </c>
      <c r="B292" s="5" t="s">
        <v>791</v>
      </c>
      <c r="C292" s="5" t="s">
        <v>792</v>
      </c>
      <c r="D292" s="5" t="s">
        <v>793</v>
      </c>
      <c r="E292" s="5" t="s">
        <v>16</v>
      </c>
      <c r="F292" s="15">
        <v>31628</v>
      </c>
      <c r="G292" s="5">
        <v>8</v>
      </c>
      <c r="H292" s="5" t="s">
        <v>34</v>
      </c>
      <c r="I292" s="5">
        <v>0</v>
      </c>
      <c r="J292" s="5" t="s">
        <v>24</v>
      </c>
      <c r="K292" s="12">
        <v>64014</v>
      </c>
      <c r="L292" s="5" t="s">
        <v>92</v>
      </c>
      <c r="M292" s="6" t="s">
        <v>39</v>
      </c>
      <c r="N292" s="15">
        <v>23274</v>
      </c>
      <c r="O292" s="15">
        <v>31628</v>
      </c>
      <c r="P292" s="5"/>
      <c r="Q292" s="2" t="str">
        <f>INDEX(Table3[#All], MATCH(Table1[[#This Row],[Dept_Id]], Table3[[#All],[Dept_Id]], 0), 1)</f>
        <v>Finance</v>
      </c>
      <c r="R292" s="22" t="str">
        <f>IF(Table1[[#This Row],[Left?]] = 1, (Table1[[#This Row],[New_Last_Date]]-Table1[[#This Row],[New_DoJ]])/365.25, "")</f>
        <v/>
      </c>
      <c r="S292" s="2" cm="1">
        <f t="array" ref="S29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92" s="2" t="str">
        <f>IF(Table1[[#This Row],[New_DoJ]] &gt;= EDATE( MAX(Table1[New_DoJ]), -24), "Yes", "No")</f>
        <v>No</v>
      </c>
    </row>
    <row r="293" spans="1:20" x14ac:dyDescent="0.3">
      <c r="A293" s="4">
        <v>457800</v>
      </c>
      <c r="B293" s="5" t="s">
        <v>791</v>
      </c>
      <c r="C293" s="5" t="s">
        <v>792</v>
      </c>
      <c r="D293" s="5" t="s">
        <v>793</v>
      </c>
      <c r="E293" s="5" t="s">
        <v>16</v>
      </c>
      <c r="F293" s="15">
        <v>31628</v>
      </c>
      <c r="G293" s="5">
        <v>8</v>
      </c>
      <c r="H293" s="5" t="s">
        <v>34</v>
      </c>
      <c r="I293" s="5">
        <v>0</v>
      </c>
      <c r="J293" s="5" t="s">
        <v>24</v>
      </c>
      <c r="K293" s="12">
        <v>64014</v>
      </c>
      <c r="L293" s="5" t="s">
        <v>38</v>
      </c>
      <c r="M293" s="6" t="s">
        <v>39</v>
      </c>
      <c r="N293" s="15">
        <v>23274</v>
      </c>
      <c r="O293" s="15">
        <v>31628</v>
      </c>
      <c r="P293" s="5"/>
      <c r="Q293" s="2" t="str">
        <f>INDEX(Table3[#All], MATCH(Table1[[#This Row],[Dept_Id]], Table3[[#All],[Dept_Id]], 0), 1)</f>
        <v>Sales</v>
      </c>
      <c r="R293" s="22" t="str">
        <f>IF(Table1[[#This Row],[Left?]] = 1, (Table1[[#This Row],[New_Last_Date]]-Table1[[#This Row],[New_DoJ]])/365.25, "")</f>
        <v/>
      </c>
      <c r="S293" s="2" cm="1">
        <f t="array" ref="S29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93" s="2" t="str">
        <f>IF(Table1[[#This Row],[New_DoJ]] &gt;= EDATE( MAX(Table1[New_DoJ]), -24), "Yes", "No")</f>
        <v>No</v>
      </c>
    </row>
    <row r="294" spans="1:20" x14ac:dyDescent="0.3">
      <c r="A294" s="4">
        <v>10175</v>
      </c>
      <c r="B294" s="5" t="s">
        <v>794</v>
      </c>
      <c r="C294" s="5" t="s">
        <v>795</v>
      </c>
      <c r="D294" s="5" t="s">
        <v>796</v>
      </c>
      <c r="E294" s="5" t="s">
        <v>33</v>
      </c>
      <c r="F294" s="15">
        <v>32153</v>
      </c>
      <c r="G294" s="5">
        <v>7</v>
      </c>
      <c r="H294" s="5" t="s">
        <v>29</v>
      </c>
      <c r="I294" s="5">
        <v>0</v>
      </c>
      <c r="J294" s="5" t="s">
        <v>24</v>
      </c>
      <c r="K294" s="12">
        <v>72285</v>
      </c>
      <c r="L294" s="5" t="s">
        <v>105</v>
      </c>
      <c r="M294" s="6" t="s">
        <v>39</v>
      </c>
      <c r="N294" s="15">
        <v>21926</v>
      </c>
      <c r="O294" s="15">
        <v>32153</v>
      </c>
      <c r="P294" s="5"/>
      <c r="Q294" s="2" t="str">
        <f>INDEX(Table3[#All], MATCH(Table1[[#This Row],[Dept_Id]], Table3[[#All],[Dept_Id]], 0), 1)</f>
        <v>Marketing</v>
      </c>
      <c r="R294" s="22" t="str">
        <f>IF(Table1[[#This Row],[Left?]] = 1, (Table1[[#This Row],[New_Last_Date]]-Table1[[#This Row],[New_DoJ]])/365.25, "")</f>
        <v/>
      </c>
      <c r="S294" s="2" cm="1">
        <f t="array" ref="S29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94" s="2" t="str">
        <f>IF(Table1[[#This Row],[New_DoJ]] &gt;= EDATE( MAX(Table1[New_DoJ]), -24), "Yes", "No")</f>
        <v>No</v>
      </c>
    </row>
    <row r="295" spans="1:20" x14ac:dyDescent="0.3">
      <c r="A295" s="4">
        <v>10176</v>
      </c>
      <c r="B295" s="5" t="s">
        <v>797</v>
      </c>
      <c r="C295" s="5" t="s">
        <v>286</v>
      </c>
      <c r="D295" s="5" t="s">
        <v>218</v>
      </c>
      <c r="E295" s="5" t="s">
        <v>33</v>
      </c>
      <c r="F295" s="15">
        <v>34690</v>
      </c>
      <c r="G295" s="5">
        <v>4</v>
      </c>
      <c r="H295" s="5" t="s">
        <v>34</v>
      </c>
      <c r="I295" s="5">
        <v>0</v>
      </c>
      <c r="J295" s="5" t="s">
        <v>24</v>
      </c>
      <c r="K295" s="12">
        <v>54635</v>
      </c>
      <c r="L295" s="5" t="s">
        <v>77</v>
      </c>
      <c r="M295" s="6" t="s">
        <v>39</v>
      </c>
      <c r="N295" s="15">
        <v>20844</v>
      </c>
      <c r="O295" s="15">
        <v>34690</v>
      </c>
      <c r="P295" s="5"/>
      <c r="Q295" s="2" t="str">
        <f>INDEX(Table3[#All], MATCH(Table1[[#This Row],[Dept_Id]], Table3[[#All],[Dept_Id]], 0), 1)</f>
        <v>Customer Service</v>
      </c>
      <c r="R295" s="22" t="str">
        <f>IF(Table1[[#This Row],[Left?]] = 1, (Table1[[#This Row],[New_Last_Date]]-Table1[[#This Row],[New_DoJ]])/365.25, "")</f>
        <v/>
      </c>
      <c r="S295" s="2" cm="1">
        <f t="array" ref="S29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295" s="2" t="str">
        <f>IF(Table1[[#This Row],[New_DoJ]] &gt;= EDATE( MAX(Table1[New_DoJ]), -24), "Yes", "No")</f>
        <v>No</v>
      </c>
    </row>
    <row r="296" spans="1:20" x14ac:dyDescent="0.3">
      <c r="A296" s="4">
        <v>446142</v>
      </c>
      <c r="B296" s="5" t="s">
        <v>798</v>
      </c>
      <c r="C296" s="5" t="s">
        <v>799</v>
      </c>
      <c r="D296" s="5" t="s">
        <v>800</v>
      </c>
      <c r="E296" s="5" t="s">
        <v>33</v>
      </c>
      <c r="F296" s="15">
        <v>34160</v>
      </c>
      <c r="G296" s="5">
        <v>6</v>
      </c>
      <c r="H296" s="5" t="s">
        <v>29</v>
      </c>
      <c r="I296" s="5">
        <v>0</v>
      </c>
      <c r="J296" s="5" t="s">
        <v>24</v>
      </c>
      <c r="K296" s="12">
        <v>40000</v>
      </c>
      <c r="L296" s="5" t="s">
        <v>63</v>
      </c>
      <c r="M296" s="6" t="s">
        <v>20</v>
      </c>
      <c r="N296" s="15">
        <v>22515</v>
      </c>
      <c r="O296" s="15">
        <v>34160</v>
      </c>
      <c r="P296" s="5"/>
      <c r="Q296" s="2" t="str">
        <f>INDEX(Table3[#All], MATCH(Table1[[#This Row],[Dept_Id]], Table3[[#All],[Dept_Id]], 0), 1)</f>
        <v>Quality Management</v>
      </c>
      <c r="R296" s="22" t="str">
        <f>IF(Table1[[#This Row],[Left?]] = 1, (Table1[[#This Row],[New_Last_Date]]-Table1[[#This Row],[New_DoJ]])/365.25, "")</f>
        <v/>
      </c>
      <c r="S296" s="2" cm="1">
        <f t="array" ref="S29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96" s="2" t="str">
        <f>IF(Table1[[#This Row],[New_DoJ]] &gt;= EDATE( MAX(Table1[New_DoJ]), -24), "Yes", "No")</f>
        <v>No</v>
      </c>
    </row>
    <row r="297" spans="1:20" x14ac:dyDescent="0.3">
      <c r="A297" s="4">
        <v>10177</v>
      </c>
      <c r="B297" s="5" t="s">
        <v>801</v>
      </c>
      <c r="C297" s="5" t="s">
        <v>802</v>
      </c>
      <c r="D297" s="5" t="s">
        <v>803</v>
      </c>
      <c r="E297" s="5" t="s">
        <v>16</v>
      </c>
      <c r="F297" s="15">
        <v>34006</v>
      </c>
      <c r="G297" s="5">
        <v>10</v>
      </c>
      <c r="H297" s="5" t="s">
        <v>115</v>
      </c>
      <c r="I297" s="5">
        <v>0</v>
      </c>
      <c r="J297" s="5" t="s">
        <v>24</v>
      </c>
      <c r="K297" s="12">
        <v>48041</v>
      </c>
      <c r="L297" s="5" t="s">
        <v>92</v>
      </c>
      <c r="M297" s="6" t="s">
        <v>39</v>
      </c>
      <c r="N297" s="15">
        <v>20036</v>
      </c>
      <c r="O297" s="15">
        <v>34006</v>
      </c>
      <c r="P297" s="5"/>
      <c r="Q297" s="2" t="str">
        <f>INDEX(Table3[#All], MATCH(Table1[[#This Row],[Dept_Id]], Table3[[#All],[Dept_Id]], 0), 1)</f>
        <v>Finance</v>
      </c>
      <c r="R297" s="22" t="str">
        <f>IF(Table1[[#This Row],[Left?]] = 1, (Table1[[#This Row],[New_Last_Date]]-Table1[[#This Row],[New_DoJ]])/365.25, "")</f>
        <v/>
      </c>
      <c r="S297" s="2" cm="1">
        <f t="array" ref="S29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297" s="2" t="str">
        <f>IF(Table1[[#This Row],[New_DoJ]] &gt;= EDATE( MAX(Table1[New_DoJ]), -24), "Yes", "No")</f>
        <v>No</v>
      </c>
    </row>
    <row r="298" spans="1:20" x14ac:dyDescent="0.3">
      <c r="A298" s="4">
        <v>10178</v>
      </c>
      <c r="B298" s="5" t="s">
        <v>804</v>
      </c>
      <c r="C298" s="5" t="s">
        <v>805</v>
      </c>
      <c r="D298" s="5" t="s">
        <v>806</v>
      </c>
      <c r="E298" s="5" t="s">
        <v>16</v>
      </c>
      <c r="F298" s="15">
        <v>31692</v>
      </c>
      <c r="G298" s="5">
        <v>9</v>
      </c>
      <c r="H298" s="5" t="s">
        <v>17</v>
      </c>
      <c r="I298" s="5">
        <v>0</v>
      </c>
      <c r="J298" s="5" t="s">
        <v>24</v>
      </c>
      <c r="K298" s="12">
        <v>50568</v>
      </c>
      <c r="L298" s="5" t="s">
        <v>38</v>
      </c>
      <c r="M298" s="6" t="s">
        <v>39</v>
      </c>
      <c r="N298" s="15">
        <v>23083</v>
      </c>
      <c r="O298" s="15">
        <v>31692</v>
      </c>
      <c r="P298" s="5"/>
      <c r="Q298" s="2" t="str">
        <f>INDEX(Table3[#All], MATCH(Table1[[#This Row],[Dept_Id]], Table3[[#All],[Dept_Id]], 0), 1)</f>
        <v>Sales</v>
      </c>
      <c r="R298" s="22" t="str">
        <f>IF(Table1[[#This Row],[Left?]] = 1, (Table1[[#This Row],[New_Last_Date]]-Table1[[#This Row],[New_DoJ]])/365.25, "")</f>
        <v/>
      </c>
      <c r="S298" s="2" cm="1">
        <f t="array" ref="S29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298" s="2" t="str">
        <f>IF(Table1[[#This Row],[New_DoJ]] &gt;= EDATE( MAX(Table1[New_DoJ]), -24), "Yes", "No")</f>
        <v>No</v>
      </c>
    </row>
    <row r="299" spans="1:20" x14ac:dyDescent="0.3">
      <c r="A299" s="4">
        <v>201769</v>
      </c>
      <c r="B299" s="5" t="s">
        <v>807</v>
      </c>
      <c r="C299" s="5" t="s">
        <v>808</v>
      </c>
      <c r="D299" s="5" t="s">
        <v>809</v>
      </c>
      <c r="E299" s="5" t="s">
        <v>16</v>
      </c>
      <c r="F299" s="15">
        <v>33873</v>
      </c>
      <c r="G299" s="5">
        <v>10</v>
      </c>
      <c r="H299" s="5" t="s">
        <v>29</v>
      </c>
      <c r="I299" s="5">
        <v>0</v>
      </c>
      <c r="J299" s="5" t="s">
        <v>24</v>
      </c>
      <c r="K299" s="12">
        <v>48427</v>
      </c>
      <c r="L299" s="5" t="s">
        <v>25</v>
      </c>
      <c r="M299" s="6" t="s">
        <v>129</v>
      </c>
      <c r="N299" s="15">
        <v>22591</v>
      </c>
      <c r="O299" s="15">
        <v>33873</v>
      </c>
      <c r="P299" s="5"/>
      <c r="Q299" s="2" t="str">
        <f>INDEX(Table3[#All], MATCH(Table1[[#This Row],[Dept_Id]], Table3[[#All],[Dept_Id]], 0), 1)</f>
        <v>Production</v>
      </c>
      <c r="R299" s="22" t="str">
        <f>IF(Table1[[#This Row],[Left?]] = 1, (Table1[[#This Row],[New_Last_Date]]-Table1[[#This Row],[New_DoJ]])/365.25, "")</f>
        <v/>
      </c>
      <c r="S299" s="2" cm="1">
        <f t="array" ref="S29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299" s="2" t="str">
        <f>IF(Table1[[#This Row],[New_DoJ]] &gt;= EDATE( MAX(Table1[New_DoJ]), -24), "Yes", "No")</f>
        <v>No</v>
      </c>
    </row>
    <row r="300" spans="1:20" x14ac:dyDescent="0.3">
      <c r="A300" s="4">
        <v>10179</v>
      </c>
      <c r="B300" s="5" t="s">
        <v>810</v>
      </c>
      <c r="C300" s="5" t="s">
        <v>811</v>
      </c>
      <c r="D300" s="5" t="s">
        <v>812</v>
      </c>
      <c r="E300" s="5" t="s">
        <v>33</v>
      </c>
      <c r="F300" s="15">
        <v>33150</v>
      </c>
      <c r="G300" s="5">
        <v>5</v>
      </c>
      <c r="H300" s="5" t="s">
        <v>34</v>
      </c>
      <c r="I300" s="5">
        <v>0</v>
      </c>
      <c r="J300" s="5" t="s">
        <v>24</v>
      </c>
      <c r="K300" s="12">
        <v>40000</v>
      </c>
      <c r="L300" s="5" t="s">
        <v>19</v>
      </c>
      <c r="M300" s="6" t="s">
        <v>50</v>
      </c>
      <c r="N300" s="15">
        <v>22610</v>
      </c>
      <c r="O300" s="15">
        <v>33150</v>
      </c>
      <c r="P300" s="5"/>
      <c r="Q300" s="2" t="str">
        <f>INDEX(Table3[#All], MATCH(Table1[[#This Row],[Dept_Id]], Table3[[#All],[Dept_Id]], 0), 1)</f>
        <v>Development</v>
      </c>
      <c r="R300" s="22" t="str">
        <f>IF(Table1[[#This Row],[Left?]] = 1, (Table1[[#This Row],[New_Last_Date]]-Table1[[#This Row],[New_DoJ]])/365.25, "")</f>
        <v/>
      </c>
      <c r="S300" s="2" cm="1">
        <f t="array" ref="S30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00" s="2" t="str">
        <f>IF(Table1[[#This Row],[New_DoJ]] &gt;= EDATE( MAX(Table1[New_DoJ]), -24), "Yes", "No")</f>
        <v>No</v>
      </c>
    </row>
    <row r="301" spans="1:20" x14ac:dyDescent="0.3">
      <c r="A301" s="4">
        <v>10180</v>
      </c>
      <c r="B301" s="5" t="s">
        <v>813</v>
      </c>
      <c r="C301" s="5" t="s">
        <v>814</v>
      </c>
      <c r="D301" s="5" t="s">
        <v>815</v>
      </c>
      <c r="E301" s="5" t="s">
        <v>16</v>
      </c>
      <c r="F301" s="15">
        <v>31468</v>
      </c>
      <c r="G301" s="5">
        <v>10</v>
      </c>
      <c r="H301" s="5" t="s">
        <v>29</v>
      </c>
      <c r="I301" s="5">
        <v>0</v>
      </c>
      <c r="J301" s="5" t="s">
        <v>24</v>
      </c>
      <c r="K301" s="12">
        <v>52444</v>
      </c>
      <c r="L301" s="5" t="s">
        <v>92</v>
      </c>
      <c r="M301" s="6" t="s">
        <v>39</v>
      </c>
      <c r="N301" s="15">
        <v>20483</v>
      </c>
      <c r="O301" s="15">
        <v>31468</v>
      </c>
      <c r="P301" s="5"/>
      <c r="Q301" s="2" t="str">
        <f>INDEX(Table3[#All], MATCH(Table1[[#This Row],[Dept_Id]], Table3[[#All],[Dept_Id]], 0), 1)</f>
        <v>Finance</v>
      </c>
      <c r="R301" s="22" t="str">
        <f>IF(Table1[[#This Row],[Left?]] = 1, (Table1[[#This Row],[New_Last_Date]]-Table1[[#This Row],[New_DoJ]])/365.25, "")</f>
        <v/>
      </c>
      <c r="S301" s="2" cm="1">
        <f t="array" ref="S30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01" s="2" t="str">
        <f>IF(Table1[[#This Row],[New_DoJ]] &gt;= EDATE( MAX(Table1[New_DoJ]), -24), "Yes", "No")</f>
        <v>No</v>
      </c>
    </row>
    <row r="302" spans="1:20" x14ac:dyDescent="0.3">
      <c r="A302" s="4">
        <v>56049</v>
      </c>
      <c r="B302" s="5" t="s">
        <v>816</v>
      </c>
      <c r="C302" s="5" t="s">
        <v>817</v>
      </c>
      <c r="D302" s="5" t="s">
        <v>818</v>
      </c>
      <c r="E302" s="5" t="s">
        <v>33</v>
      </c>
      <c r="F302" s="15">
        <v>32157</v>
      </c>
      <c r="G302" s="5">
        <v>5</v>
      </c>
      <c r="H302" s="5" t="s">
        <v>34</v>
      </c>
      <c r="I302" s="5">
        <v>0</v>
      </c>
      <c r="J302" s="5" t="s">
        <v>24</v>
      </c>
      <c r="K302" s="12">
        <v>76782</v>
      </c>
      <c r="L302" s="5" t="s">
        <v>105</v>
      </c>
      <c r="M302" s="6" t="s">
        <v>39</v>
      </c>
      <c r="N302" s="15">
        <v>19190</v>
      </c>
      <c r="O302" s="15">
        <v>32157</v>
      </c>
      <c r="P302" s="5"/>
      <c r="Q302" s="2" t="str">
        <f>INDEX(Table3[#All], MATCH(Table1[[#This Row],[Dept_Id]], Table3[[#All],[Dept_Id]], 0), 1)</f>
        <v>Marketing</v>
      </c>
      <c r="R302" s="22" t="str">
        <f>IF(Table1[[#This Row],[Left?]] = 1, (Table1[[#This Row],[New_Last_Date]]-Table1[[#This Row],[New_DoJ]])/365.25, "")</f>
        <v/>
      </c>
      <c r="S302" s="2" cm="1">
        <f t="array" ref="S30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02" s="2" t="str">
        <f>IF(Table1[[#This Row],[New_DoJ]] &gt;= EDATE( MAX(Table1[New_DoJ]), -24), "Yes", "No")</f>
        <v>No</v>
      </c>
    </row>
    <row r="303" spans="1:20" x14ac:dyDescent="0.3">
      <c r="A303" s="4">
        <v>56049</v>
      </c>
      <c r="B303" s="5" t="s">
        <v>816</v>
      </c>
      <c r="C303" s="5" t="s">
        <v>817</v>
      </c>
      <c r="D303" s="5" t="s">
        <v>818</v>
      </c>
      <c r="E303" s="5" t="s">
        <v>33</v>
      </c>
      <c r="F303" s="15">
        <v>32157</v>
      </c>
      <c r="G303" s="5">
        <v>5</v>
      </c>
      <c r="H303" s="5" t="s">
        <v>34</v>
      </c>
      <c r="I303" s="5">
        <v>0</v>
      </c>
      <c r="J303" s="5" t="s">
        <v>24</v>
      </c>
      <c r="K303" s="12">
        <v>76782</v>
      </c>
      <c r="L303" s="5" t="s">
        <v>77</v>
      </c>
      <c r="M303" s="6" t="s">
        <v>39</v>
      </c>
      <c r="N303" s="15">
        <v>19190</v>
      </c>
      <c r="O303" s="15">
        <v>32157</v>
      </c>
      <c r="P303" s="5"/>
      <c r="Q303" s="2" t="str">
        <f>INDEX(Table3[#All], MATCH(Table1[[#This Row],[Dept_Id]], Table3[[#All],[Dept_Id]], 0), 1)</f>
        <v>Customer Service</v>
      </c>
      <c r="R303" s="22" t="str">
        <f>IF(Table1[[#This Row],[Left?]] = 1, (Table1[[#This Row],[New_Last_Date]]-Table1[[#This Row],[New_DoJ]])/365.25, "")</f>
        <v/>
      </c>
      <c r="S303" s="2" cm="1">
        <f t="array" ref="S30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03" s="2" t="str">
        <f>IF(Table1[[#This Row],[New_DoJ]] &gt;= EDATE( MAX(Table1[New_DoJ]), -24), "Yes", "No")</f>
        <v>No</v>
      </c>
    </row>
    <row r="304" spans="1:20" x14ac:dyDescent="0.3">
      <c r="A304" s="4">
        <v>10181</v>
      </c>
      <c r="B304" s="5" t="s">
        <v>819</v>
      </c>
      <c r="C304" s="5" t="s">
        <v>820</v>
      </c>
      <c r="D304" s="5" t="s">
        <v>98</v>
      </c>
      <c r="E304" s="5" t="s">
        <v>16</v>
      </c>
      <c r="F304" s="15">
        <v>32316</v>
      </c>
      <c r="G304" s="5">
        <v>7</v>
      </c>
      <c r="H304" s="5" t="s">
        <v>34</v>
      </c>
      <c r="I304" s="5">
        <v>0</v>
      </c>
      <c r="J304" s="5" t="s">
        <v>24</v>
      </c>
      <c r="K304" s="12">
        <v>40000</v>
      </c>
      <c r="L304" s="5" t="s">
        <v>19</v>
      </c>
      <c r="M304" s="6" t="s">
        <v>20</v>
      </c>
      <c r="N304" s="15">
        <v>23033</v>
      </c>
      <c r="O304" s="15">
        <v>32316</v>
      </c>
      <c r="P304" s="5"/>
      <c r="Q304" s="2" t="str">
        <f>INDEX(Table3[#All], MATCH(Table1[[#This Row],[Dept_Id]], Table3[[#All],[Dept_Id]], 0), 1)</f>
        <v>Development</v>
      </c>
      <c r="R304" s="22" t="str">
        <f>IF(Table1[[#This Row],[Left?]] = 1, (Table1[[#This Row],[New_Last_Date]]-Table1[[#This Row],[New_DoJ]])/365.25, "")</f>
        <v/>
      </c>
      <c r="S304" s="2" cm="1">
        <f t="array" ref="S30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04" s="2" t="str">
        <f>IF(Table1[[#This Row],[New_DoJ]] &gt;= EDATE( MAX(Table1[New_DoJ]), -24), "Yes", "No")</f>
        <v>No</v>
      </c>
    </row>
    <row r="305" spans="1:20" x14ac:dyDescent="0.3">
      <c r="A305" s="4">
        <v>10182</v>
      </c>
      <c r="B305" s="5" t="s">
        <v>821</v>
      </c>
      <c r="C305" s="5" t="s">
        <v>822</v>
      </c>
      <c r="D305" s="5" t="s">
        <v>823</v>
      </c>
      <c r="E305" s="5" t="s">
        <v>33</v>
      </c>
      <c r="F305" s="15">
        <v>33118</v>
      </c>
      <c r="G305" s="5">
        <v>5</v>
      </c>
      <c r="H305" s="5" t="s">
        <v>115</v>
      </c>
      <c r="I305" s="5">
        <v>0</v>
      </c>
      <c r="J305" s="5" t="s">
        <v>24</v>
      </c>
      <c r="K305" s="12">
        <v>40380</v>
      </c>
      <c r="L305" s="5" t="s">
        <v>19</v>
      </c>
      <c r="M305" s="6" t="s">
        <v>20</v>
      </c>
      <c r="N305" s="15">
        <v>22316</v>
      </c>
      <c r="O305" s="15">
        <v>33118</v>
      </c>
      <c r="P305" s="5"/>
      <c r="Q305" s="2" t="str">
        <f>INDEX(Table3[#All], MATCH(Table1[[#This Row],[Dept_Id]], Table3[[#All],[Dept_Id]], 0), 1)</f>
        <v>Development</v>
      </c>
      <c r="R305" s="22" t="str">
        <f>IF(Table1[[#This Row],[Left?]] = 1, (Table1[[#This Row],[New_Last_Date]]-Table1[[#This Row],[New_DoJ]])/365.25, "")</f>
        <v/>
      </c>
      <c r="S305" s="2" cm="1">
        <f t="array" ref="S30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305" s="2" t="str">
        <f>IF(Table1[[#This Row],[New_DoJ]] &gt;= EDATE( MAX(Table1[New_DoJ]), -24), "Yes", "No")</f>
        <v>No</v>
      </c>
    </row>
    <row r="306" spans="1:20" x14ac:dyDescent="0.3">
      <c r="A306" s="4">
        <v>10182</v>
      </c>
      <c r="B306" s="5" t="s">
        <v>821</v>
      </c>
      <c r="C306" s="5" t="s">
        <v>822</v>
      </c>
      <c r="D306" s="5" t="s">
        <v>823</v>
      </c>
      <c r="E306" s="5" t="s">
        <v>33</v>
      </c>
      <c r="F306" s="15">
        <v>33118</v>
      </c>
      <c r="G306" s="5">
        <v>5</v>
      </c>
      <c r="H306" s="5" t="s">
        <v>115</v>
      </c>
      <c r="I306" s="5">
        <v>0</v>
      </c>
      <c r="J306" s="5" t="s">
        <v>24</v>
      </c>
      <c r="K306" s="12">
        <v>40380</v>
      </c>
      <c r="L306" s="5" t="s">
        <v>55</v>
      </c>
      <c r="M306" s="6" t="s">
        <v>20</v>
      </c>
      <c r="N306" s="15">
        <v>22316</v>
      </c>
      <c r="O306" s="15">
        <v>33118</v>
      </c>
      <c r="P306" s="5"/>
      <c r="Q306" s="2" t="str">
        <f>INDEX(Table3[#All], MATCH(Table1[[#This Row],[Dept_Id]], Table3[[#All],[Dept_Id]], 0), 1)</f>
        <v>Research</v>
      </c>
      <c r="R306" s="22" t="str">
        <f>IF(Table1[[#This Row],[Left?]] = 1, (Table1[[#This Row],[New_Last_Date]]-Table1[[#This Row],[New_DoJ]])/365.25, "")</f>
        <v/>
      </c>
      <c r="S306" s="2" cm="1">
        <f t="array" ref="S30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306" s="2" t="str">
        <f>IF(Table1[[#This Row],[New_DoJ]] &gt;= EDATE( MAX(Table1[New_DoJ]), -24), "Yes", "No")</f>
        <v>No</v>
      </c>
    </row>
    <row r="307" spans="1:20" x14ac:dyDescent="0.3">
      <c r="A307" s="4">
        <v>414537</v>
      </c>
      <c r="B307" s="5" t="s">
        <v>824</v>
      </c>
      <c r="C307" s="5" t="s">
        <v>544</v>
      </c>
      <c r="D307" s="5" t="s">
        <v>825</v>
      </c>
      <c r="E307" s="5" t="s">
        <v>16</v>
      </c>
      <c r="F307" s="15">
        <v>31781</v>
      </c>
      <c r="G307" s="5">
        <v>10</v>
      </c>
      <c r="H307" s="5" t="s">
        <v>34</v>
      </c>
      <c r="I307" s="5">
        <v>0</v>
      </c>
      <c r="J307" s="5" t="s">
        <v>24</v>
      </c>
      <c r="K307" s="12">
        <v>78474</v>
      </c>
      <c r="L307" s="5" t="s">
        <v>38</v>
      </c>
      <c r="M307" s="6" t="s">
        <v>39</v>
      </c>
      <c r="N307" s="15">
        <v>22141</v>
      </c>
      <c r="O307" s="15">
        <v>31781</v>
      </c>
      <c r="P307" s="5"/>
      <c r="Q307" s="2" t="str">
        <f>INDEX(Table3[#All], MATCH(Table1[[#This Row],[Dept_Id]], Table3[[#All],[Dept_Id]], 0), 1)</f>
        <v>Sales</v>
      </c>
      <c r="R307" s="22" t="str">
        <f>IF(Table1[[#This Row],[Left?]] = 1, (Table1[[#This Row],[New_Last_Date]]-Table1[[#This Row],[New_DoJ]])/365.25, "")</f>
        <v/>
      </c>
      <c r="S307" s="2" cm="1">
        <f t="array" ref="S30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07" s="2" t="str">
        <f>IF(Table1[[#This Row],[New_DoJ]] &gt;= EDATE( MAX(Table1[New_DoJ]), -24), "Yes", "No")</f>
        <v>No</v>
      </c>
    </row>
    <row r="308" spans="1:20" x14ac:dyDescent="0.3">
      <c r="A308" s="4">
        <v>10183</v>
      </c>
      <c r="B308" s="5" t="s">
        <v>826</v>
      </c>
      <c r="C308" s="5" t="s">
        <v>383</v>
      </c>
      <c r="D308" s="5" t="s">
        <v>827</v>
      </c>
      <c r="E308" s="5" t="s">
        <v>16</v>
      </c>
      <c r="F308" s="15">
        <v>35288</v>
      </c>
      <c r="G308" s="5">
        <v>1</v>
      </c>
      <c r="H308" s="5" t="s">
        <v>17</v>
      </c>
      <c r="I308" s="5">
        <v>0</v>
      </c>
      <c r="J308" s="5" t="s">
        <v>24</v>
      </c>
      <c r="K308" s="12">
        <v>40000</v>
      </c>
      <c r="L308" s="5" t="s">
        <v>77</v>
      </c>
      <c r="M308" s="6" t="s">
        <v>39</v>
      </c>
      <c r="N308" s="15">
        <v>20014</v>
      </c>
      <c r="O308" s="15">
        <v>35288</v>
      </c>
      <c r="P308" s="5"/>
      <c r="Q308" s="2" t="str">
        <f>INDEX(Table3[#All], MATCH(Table1[[#This Row],[Dept_Id]], Table3[[#All],[Dept_Id]], 0), 1)</f>
        <v>Customer Service</v>
      </c>
      <c r="R308" s="22" t="str">
        <f>IF(Table1[[#This Row],[Left?]] = 1, (Table1[[#This Row],[New_Last_Date]]-Table1[[#This Row],[New_DoJ]])/365.25, "")</f>
        <v/>
      </c>
      <c r="S308" s="2" cm="1">
        <f t="array" ref="S30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08" s="2" t="str">
        <f>IF(Table1[[#This Row],[New_DoJ]] &gt;= EDATE( MAX(Table1[New_DoJ]), -24), "Yes", "No")</f>
        <v>No</v>
      </c>
    </row>
    <row r="309" spans="1:20" x14ac:dyDescent="0.3">
      <c r="A309" s="4">
        <v>414885</v>
      </c>
      <c r="B309" s="5" t="s">
        <v>828</v>
      </c>
      <c r="C309" s="5" t="s">
        <v>829</v>
      </c>
      <c r="D309" s="5" t="s">
        <v>276</v>
      </c>
      <c r="E309" s="5" t="s">
        <v>16</v>
      </c>
      <c r="F309" s="15">
        <v>34938</v>
      </c>
      <c r="G309" s="5">
        <v>7</v>
      </c>
      <c r="H309" s="5" t="s">
        <v>29</v>
      </c>
      <c r="I309" s="5">
        <v>0</v>
      </c>
      <c r="J309" s="5" t="s">
        <v>24</v>
      </c>
      <c r="K309" s="12">
        <v>81272</v>
      </c>
      <c r="L309" s="5" t="s">
        <v>38</v>
      </c>
      <c r="M309" s="6" t="s">
        <v>39</v>
      </c>
      <c r="N309" s="15">
        <v>22861</v>
      </c>
      <c r="O309" s="15">
        <v>34938</v>
      </c>
      <c r="P309" s="5"/>
      <c r="Q309" s="2" t="str">
        <f>INDEX(Table3[#All], MATCH(Table1[[#This Row],[Dept_Id]], Table3[[#All],[Dept_Id]], 0), 1)</f>
        <v>Sales</v>
      </c>
      <c r="R309" s="22" t="str">
        <f>IF(Table1[[#This Row],[Left?]] = 1, (Table1[[#This Row],[New_Last_Date]]-Table1[[#This Row],[New_DoJ]])/365.25, "")</f>
        <v/>
      </c>
      <c r="S309" s="2" cm="1">
        <f t="array" ref="S30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09" s="2" t="str">
        <f>IF(Table1[[#This Row],[New_DoJ]] &gt;= EDATE( MAX(Table1[New_DoJ]), -24), "Yes", "No")</f>
        <v>No</v>
      </c>
    </row>
    <row r="310" spans="1:20" x14ac:dyDescent="0.3">
      <c r="A310" s="4">
        <v>10184</v>
      </c>
      <c r="B310" s="5" t="s">
        <v>830</v>
      </c>
      <c r="C310" s="5" t="s">
        <v>831</v>
      </c>
      <c r="D310" s="5" t="s">
        <v>832</v>
      </c>
      <c r="E310" s="5" t="s">
        <v>16</v>
      </c>
      <c r="F310" s="15">
        <v>32079</v>
      </c>
      <c r="G310" s="5">
        <v>10</v>
      </c>
      <c r="H310" s="5" t="s">
        <v>34</v>
      </c>
      <c r="I310" s="5">
        <v>0</v>
      </c>
      <c r="J310" s="5" t="s">
        <v>24</v>
      </c>
      <c r="K310" s="12">
        <v>48586</v>
      </c>
      <c r="L310" s="5" t="s">
        <v>77</v>
      </c>
      <c r="M310" s="6" t="s">
        <v>39</v>
      </c>
      <c r="N310" s="15">
        <v>20962</v>
      </c>
      <c r="O310" s="15">
        <v>32079</v>
      </c>
      <c r="P310" s="5"/>
      <c r="Q310" s="2" t="str">
        <f>INDEX(Table3[#All], MATCH(Table1[[#This Row],[Dept_Id]], Table3[[#All],[Dept_Id]], 0), 1)</f>
        <v>Customer Service</v>
      </c>
      <c r="R310" s="22" t="str">
        <f>IF(Table1[[#This Row],[Left?]] = 1, (Table1[[#This Row],[New_Last_Date]]-Table1[[#This Row],[New_DoJ]])/365.25, "")</f>
        <v/>
      </c>
      <c r="S310" s="2" cm="1">
        <f t="array" ref="S31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10" s="2" t="str">
        <f>IF(Table1[[#This Row],[New_DoJ]] &gt;= EDATE( MAX(Table1[New_DoJ]), -24), "Yes", "No")</f>
        <v>No</v>
      </c>
    </row>
    <row r="311" spans="1:20" x14ac:dyDescent="0.3">
      <c r="A311" s="4">
        <v>10185</v>
      </c>
      <c r="B311" s="5" t="s">
        <v>833</v>
      </c>
      <c r="C311" s="5" t="s">
        <v>834</v>
      </c>
      <c r="D311" s="5" t="s">
        <v>835</v>
      </c>
      <c r="E311" s="5" t="s">
        <v>33</v>
      </c>
      <c r="F311" s="15">
        <v>31472</v>
      </c>
      <c r="G311" s="5">
        <v>10</v>
      </c>
      <c r="H311" s="5" t="s">
        <v>17</v>
      </c>
      <c r="I311" s="5">
        <v>0</v>
      </c>
      <c r="J311" s="5" t="s">
        <v>24</v>
      </c>
      <c r="K311" s="12">
        <v>68334</v>
      </c>
      <c r="L311" s="5" t="s">
        <v>38</v>
      </c>
      <c r="M311" s="6" t="s">
        <v>39</v>
      </c>
      <c r="N311" s="15">
        <v>21889</v>
      </c>
      <c r="O311" s="15">
        <v>31472</v>
      </c>
      <c r="P311" s="5"/>
      <c r="Q311" s="2" t="str">
        <f>INDEX(Table3[#All], MATCH(Table1[[#This Row],[Dept_Id]], Table3[[#All],[Dept_Id]], 0), 1)</f>
        <v>Sales</v>
      </c>
      <c r="R311" s="22" t="str">
        <f>IF(Table1[[#This Row],[Left?]] = 1, (Table1[[#This Row],[New_Last_Date]]-Table1[[#This Row],[New_DoJ]])/365.25, "")</f>
        <v/>
      </c>
      <c r="S311" s="2" cm="1">
        <f t="array" ref="S31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11" s="2" t="str">
        <f>IF(Table1[[#This Row],[New_DoJ]] &gt;= EDATE( MAX(Table1[New_DoJ]), -24), "Yes", "No")</f>
        <v>No</v>
      </c>
    </row>
    <row r="312" spans="1:20" x14ac:dyDescent="0.3">
      <c r="A312" s="4">
        <v>10186</v>
      </c>
      <c r="B312" s="5" t="s">
        <v>836</v>
      </c>
      <c r="C312" s="5" t="s">
        <v>837</v>
      </c>
      <c r="D312" s="5" t="s">
        <v>838</v>
      </c>
      <c r="E312" s="5" t="s">
        <v>16</v>
      </c>
      <c r="F312" s="15">
        <v>31499</v>
      </c>
      <c r="G312" s="5">
        <v>9</v>
      </c>
      <c r="H312" s="5" t="s">
        <v>29</v>
      </c>
      <c r="I312" s="5">
        <v>0</v>
      </c>
      <c r="J312" s="5" t="s">
        <v>24</v>
      </c>
      <c r="K312" s="12">
        <v>40000</v>
      </c>
      <c r="L312" s="5" t="s">
        <v>92</v>
      </c>
      <c r="M312" s="6" t="s">
        <v>39</v>
      </c>
      <c r="N312" s="15">
        <v>19556</v>
      </c>
      <c r="O312" s="15">
        <v>31499</v>
      </c>
      <c r="P312" s="5"/>
      <c r="Q312" s="2" t="str">
        <f>INDEX(Table3[#All], MATCH(Table1[[#This Row],[Dept_Id]], Table3[[#All],[Dept_Id]], 0), 1)</f>
        <v>Finance</v>
      </c>
      <c r="R312" s="22" t="str">
        <f>IF(Table1[[#This Row],[Left?]] = 1, (Table1[[#This Row],[New_Last_Date]]-Table1[[#This Row],[New_DoJ]])/365.25, "")</f>
        <v/>
      </c>
      <c r="S312" s="2" cm="1">
        <f t="array" ref="S31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12" s="2" t="str">
        <f>IF(Table1[[#This Row],[New_DoJ]] &gt;= EDATE( MAX(Table1[New_DoJ]), -24), "Yes", "No")</f>
        <v>No</v>
      </c>
    </row>
    <row r="313" spans="1:20" x14ac:dyDescent="0.3">
      <c r="A313" s="4">
        <v>10187</v>
      </c>
      <c r="B313" s="5" t="s">
        <v>839</v>
      </c>
      <c r="C313" s="5" t="s">
        <v>840</v>
      </c>
      <c r="D313" s="5" t="s">
        <v>841</v>
      </c>
      <c r="E313" s="5" t="s">
        <v>33</v>
      </c>
      <c r="F313" s="15">
        <v>33390</v>
      </c>
      <c r="G313" s="5">
        <v>3</v>
      </c>
      <c r="H313" s="5" t="s">
        <v>115</v>
      </c>
      <c r="I313" s="5">
        <v>1</v>
      </c>
      <c r="J313" s="5" t="s">
        <v>842</v>
      </c>
      <c r="K313" s="12">
        <v>71454</v>
      </c>
      <c r="L313" s="5" t="s">
        <v>92</v>
      </c>
      <c r="M313" s="6" t="s">
        <v>39</v>
      </c>
      <c r="N313" s="15">
        <v>22427</v>
      </c>
      <c r="O313" s="15">
        <v>33390</v>
      </c>
      <c r="P313" s="15">
        <v>35520</v>
      </c>
      <c r="Q313" s="2" t="str">
        <f>INDEX(Table3[#All], MATCH(Table1[[#This Row],[Dept_Id]], Table3[[#All],[Dept_Id]], 0), 1)</f>
        <v>Finance</v>
      </c>
      <c r="R313" s="22">
        <f>IF(Table1[[#This Row],[Left?]] = 1, (Table1[[#This Row],[New_Last_Date]]-Table1[[#This Row],[New_DoJ]])/365.25, "")</f>
        <v>5.8316221765913756</v>
      </c>
      <c r="S313" s="2" cm="1">
        <f t="array" ref="S31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313" s="2" t="str">
        <f>IF(Table1[[#This Row],[New_DoJ]] &gt;= EDATE( MAX(Table1[New_DoJ]), -24), "Yes", "No")</f>
        <v>No</v>
      </c>
    </row>
    <row r="314" spans="1:20" x14ac:dyDescent="0.3">
      <c r="A314" s="4">
        <v>250218</v>
      </c>
      <c r="B314" s="5" t="s">
        <v>843</v>
      </c>
      <c r="C314" s="5" t="s">
        <v>844</v>
      </c>
      <c r="D314" s="5" t="s">
        <v>845</v>
      </c>
      <c r="E314" s="5" t="s">
        <v>16</v>
      </c>
      <c r="F314" s="15">
        <v>32167</v>
      </c>
      <c r="G314" s="5">
        <v>8</v>
      </c>
      <c r="H314" s="5" t="s">
        <v>34</v>
      </c>
      <c r="I314" s="5">
        <v>0</v>
      </c>
      <c r="J314" s="5" t="s">
        <v>24</v>
      </c>
      <c r="K314" s="12">
        <v>41127</v>
      </c>
      <c r="L314" s="5" t="s">
        <v>19</v>
      </c>
      <c r="M314" s="6" t="s">
        <v>20</v>
      </c>
      <c r="N314" s="15">
        <v>19389</v>
      </c>
      <c r="O314" s="15">
        <v>32167</v>
      </c>
      <c r="P314" s="5"/>
      <c r="Q314" s="2" t="str">
        <f>INDEX(Table3[#All], MATCH(Table1[[#This Row],[Dept_Id]], Table3[[#All],[Dept_Id]], 0), 1)</f>
        <v>Development</v>
      </c>
      <c r="R314" s="22" t="str">
        <f>IF(Table1[[#This Row],[Left?]] = 1, (Table1[[#This Row],[New_Last_Date]]-Table1[[#This Row],[New_DoJ]])/365.25, "")</f>
        <v/>
      </c>
      <c r="S314" s="2" cm="1">
        <f t="array" ref="S31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14" s="2" t="str">
        <f>IF(Table1[[#This Row],[New_DoJ]] &gt;= EDATE( MAX(Table1[New_DoJ]), -24), "Yes", "No")</f>
        <v>No</v>
      </c>
    </row>
    <row r="315" spans="1:20" x14ac:dyDescent="0.3">
      <c r="A315" s="4">
        <v>250218</v>
      </c>
      <c r="B315" s="5" t="s">
        <v>843</v>
      </c>
      <c r="C315" s="5" t="s">
        <v>844</v>
      </c>
      <c r="D315" s="5" t="s">
        <v>845</v>
      </c>
      <c r="E315" s="5" t="s">
        <v>16</v>
      </c>
      <c r="F315" s="15">
        <v>32167</v>
      </c>
      <c r="G315" s="5">
        <v>8</v>
      </c>
      <c r="H315" s="5" t="s">
        <v>34</v>
      </c>
      <c r="I315" s="5">
        <v>0</v>
      </c>
      <c r="J315" s="5" t="s">
        <v>24</v>
      </c>
      <c r="K315" s="12">
        <v>41127</v>
      </c>
      <c r="L315" s="5" t="s">
        <v>55</v>
      </c>
      <c r="M315" s="6" t="s">
        <v>20</v>
      </c>
      <c r="N315" s="15">
        <v>19389</v>
      </c>
      <c r="O315" s="15">
        <v>32167</v>
      </c>
      <c r="P315" s="5"/>
      <c r="Q315" s="2" t="str">
        <f>INDEX(Table3[#All], MATCH(Table1[[#This Row],[Dept_Id]], Table3[[#All],[Dept_Id]], 0), 1)</f>
        <v>Research</v>
      </c>
      <c r="R315" s="22" t="str">
        <f>IF(Table1[[#This Row],[Left?]] = 1, (Table1[[#This Row],[New_Last_Date]]-Table1[[#This Row],[New_DoJ]])/365.25, "")</f>
        <v/>
      </c>
      <c r="S315" s="2" cm="1">
        <f t="array" ref="S31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15" s="2" t="str">
        <f>IF(Table1[[#This Row],[New_DoJ]] &gt;= EDATE( MAX(Table1[New_DoJ]), -24), "Yes", "No")</f>
        <v>No</v>
      </c>
    </row>
    <row r="316" spans="1:20" x14ac:dyDescent="0.3">
      <c r="A316" s="4">
        <v>10188</v>
      </c>
      <c r="B316" s="5" t="s">
        <v>846</v>
      </c>
      <c r="C316" s="5" t="s">
        <v>847</v>
      </c>
      <c r="D316" s="5" t="s">
        <v>848</v>
      </c>
      <c r="E316" s="5" t="s">
        <v>33</v>
      </c>
      <c r="F316" s="15">
        <v>32016</v>
      </c>
      <c r="G316" s="5">
        <v>5</v>
      </c>
      <c r="H316" s="5" t="s">
        <v>34</v>
      </c>
      <c r="I316" s="5">
        <v>0</v>
      </c>
      <c r="J316" s="5" t="s">
        <v>24</v>
      </c>
      <c r="K316" s="12">
        <v>62365</v>
      </c>
      <c r="L316" s="5" t="s">
        <v>25</v>
      </c>
      <c r="M316" s="6" t="s">
        <v>20</v>
      </c>
      <c r="N316" s="15">
        <v>20649</v>
      </c>
      <c r="O316" s="15">
        <v>32016</v>
      </c>
      <c r="P316" s="5"/>
      <c r="Q316" s="2" t="str">
        <f>INDEX(Table3[#All], MATCH(Table1[[#This Row],[Dept_Id]], Table3[[#All],[Dept_Id]], 0), 1)</f>
        <v>Production</v>
      </c>
      <c r="R316" s="22" t="str">
        <f>IF(Table1[[#This Row],[Left?]] = 1, (Table1[[#This Row],[New_Last_Date]]-Table1[[#This Row],[New_DoJ]])/365.25, "")</f>
        <v/>
      </c>
      <c r="S316" s="2" cm="1">
        <f t="array" ref="S31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16" s="2" t="str">
        <f>IF(Table1[[#This Row],[New_DoJ]] &gt;= EDATE( MAX(Table1[New_DoJ]), -24), "Yes", "No")</f>
        <v>No</v>
      </c>
    </row>
    <row r="317" spans="1:20" x14ac:dyDescent="0.3">
      <c r="A317" s="4">
        <v>10189</v>
      </c>
      <c r="B317" s="5" t="s">
        <v>849</v>
      </c>
      <c r="C317" s="5" t="s">
        <v>850</v>
      </c>
      <c r="D317" s="5" t="s">
        <v>851</v>
      </c>
      <c r="E317" s="5" t="s">
        <v>16</v>
      </c>
      <c r="F317" s="15">
        <v>32786</v>
      </c>
      <c r="G317" s="5">
        <v>6</v>
      </c>
      <c r="H317" s="5" t="s">
        <v>17</v>
      </c>
      <c r="I317" s="5">
        <v>0</v>
      </c>
      <c r="J317" s="5" t="s">
        <v>24</v>
      </c>
      <c r="K317" s="12">
        <v>41222</v>
      </c>
      <c r="L317" s="5" t="s">
        <v>19</v>
      </c>
      <c r="M317" s="6" t="s">
        <v>50</v>
      </c>
      <c r="N317" s="15">
        <v>20405</v>
      </c>
      <c r="O317" s="15">
        <v>32786</v>
      </c>
      <c r="P317" s="5"/>
      <c r="Q317" s="2" t="str">
        <f>INDEX(Table3[#All], MATCH(Table1[[#This Row],[Dept_Id]], Table3[[#All],[Dept_Id]], 0), 1)</f>
        <v>Development</v>
      </c>
      <c r="R317" s="22" t="str">
        <f>IF(Table1[[#This Row],[Left?]] = 1, (Table1[[#This Row],[New_Last_Date]]-Table1[[#This Row],[New_DoJ]])/365.25, "")</f>
        <v/>
      </c>
      <c r="S317" s="2" cm="1">
        <f t="array" ref="S31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17" s="2" t="str">
        <f>IF(Table1[[#This Row],[New_DoJ]] &gt;= EDATE( MAX(Table1[New_DoJ]), -24), "Yes", "No")</f>
        <v>No</v>
      </c>
    </row>
    <row r="318" spans="1:20" x14ac:dyDescent="0.3">
      <c r="A318" s="4">
        <v>451340</v>
      </c>
      <c r="B318" s="5" t="s">
        <v>852</v>
      </c>
      <c r="C318" s="5" t="s">
        <v>326</v>
      </c>
      <c r="D318" s="5" t="s">
        <v>558</v>
      </c>
      <c r="E318" s="5" t="s">
        <v>16</v>
      </c>
      <c r="F318" s="15">
        <v>32059</v>
      </c>
      <c r="G318" s="5">
        <v>1</v>
      </c>
      <c r="H318" s="5" t="s">
        <v>34</v>
      </c>
      <c r="I318" s="5">
        <v>0</v>
      </c>
      <c r="J318" s="5" t="s">
        <v>24</v>
      </c>
      <c r="K318" s="12">
        <v>40000</v>
      </c>
      <c r="L318" s="5" t="s">
        <v>43</v>
      </c>
      <c r="M318" s="6" t="s">
        <v>39</v>
      </c>
      <c r="N318" s="15">
        <v>22623</v>
      </c>
      <c r="O318" s="15">
        <v>32059</v>
      </c>
      <c r="P318" s="5"/>
      <c r="Q318" s="2" t="str">
        <f>INDEX(Table3[#All], MATCH(Table1[[#This Row],[Dept_Id]], Table3[[#All],[Dept_Id]], 0), 1)</f>
        <v>Human Resources</v>
      </c>
      <c r="R318" s="22" t="str">
        <f>IF(Table1[[#This Row],[Left?]] = 1, (Table1[[#This Row],[New_Last_Date]]-Table1[[#This Row],[New_DoJ]])/365.25, "")</f>
        <v/>
      </c>
      <c r="S318" s="2" cm="1">
        <f t="array" ref="S31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18" s="2" t="str">
        <f>IF(Table1[[#This Row],[New_DoJ]] &gt;= EDATE( MAX(Table1[New_DoJ]), -24), "Yes", "No")</f>
        <v>No</v>
      </c>
    </row>
    <row r="319" spans="1:20" x14ac:dyDescent="0.3">
      <c r="A319" s="4">
        <v>10190</v>
      </c>
      <c r="B319" s="5" t="s">
        <v>853</v>
      </c>
      <c r="C319" s="5" t="s">
        <v>854</v>
      </c>
      <c r="D319" s="5" t="s">
        <v>566</v>
      </c>
      <c r="E319" s="5" t="s">
        <v>33</v>
      </c>
      <c r="F319" s="15">
        <v>31586</v>
      </c>
      <c r="G319" s="5">
        <v>5</v>
      </c>
      <c r="H319" s="5" t="s">
        <v>34</v>
      </c>
      <c r="I319" s="5">
        <v>0</v>
      </c>
      <c r="J319" s="5" t="s">
        <v>24</v>
      </c>
      <c r="K319" s="12">
        <v>40000</v>
      </c>
      <c r="L319" s="5" t="s">
        <v>25</v>
      </c>
      <c r="M319" s="6" t="s">
        <v>20</v>
      </c>
      <c r="N319" s="15">
        <v>23722</v>
      </c>
      <c r="O319" s="15">
        <v>31586</v>
      </c>
      <c r="P319" s="5"/>
      <c r="Q319" s="2" t="str">
        <f>INDEX(Table3[#All], MATCH(Table1[[#This Row],[Dept_Id]], Table3[[#All],[Dept_Id]], 0), 1)</f>
        <v>Production</v>
      </c>
      <c r="R319" s="22" t="str">
        <f>IF(Table1[[#This Row],[Left?]] = 1, (Table1[[#This Row],[New_Last_Date]]-Table1[[#This Row],[New_DoJ]])/365.25, "")</f>
        <v/>
      </c>
      <c r="S319" s="2" cm="1">
        <f t="array" ref="S31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19" s="2" t="str">
        <f>IF(Table1[[#This Row],[New_DoJ]] &gt;= EDATE( MAX(Table1[New_DoJ]), -24), "Yes", "No")</f>
        <v>No</v>
      </c>
    </row>
    <row r="320" spans="1:20" x14ac:dyDescent="0.3">
      <c r="A320" s="4">
        <v>10191</v>
      </c>
      <c r="B320" s="5" t="s">
        <v>855</v>
      </c>
      <c r="C320" s="5" t="s">
        <v>856</v>
      </c>
      <c r="D320" s="5" t="s">
        <v>712</v>
      </c>
      <c r="E320" s="5" t="s">
        <v>16</v>
      </c>
      <c r="F320" s="15">
        <v>31512</v>
      </c>
      <c r="G320" s="5">
        <v>4</v>
      </c>
      <c r="H320" s="5" t="s">
        <v>34</v>
      </c>
      <c r="I320" s="5">
        <v>0</v>
      </c>
      <c r="J320" s="5" t="s">
        <v>24</v>
      </c>
      <c r="K320" s="12">
        <v>40000</v>
      </c>
      <c r="L320" s="5" t="s">
        <v>19</v>
      </c>
      <c r="M320" s="6" t="s">
        <v>20</v>
      </c>
      <c r="N320" s="15">
        <v>21648</v>
      </c>
      <c r="O320" s="15">
        <v>31512</v>
      </c>
      <c r="P320" s="5"/>
      <c r="Q320" s="2" t="str">
        <f>INDEX(Table3[#All], MATCH(Table1[[#This Row],[Dept_Id]], Table3[[#All],[Dept_Id]], 0), 1)</f>
        <v>Development</v>
      </c>
      <c r="R320" s="22" t="str">
        <f>IF(Table1[[#This Row],[Left?]] = 1, (Table1[[#This Row],[New_Last_Date]]-Table1[[#This Row],[New_DoJ]])/365.25, "")</f>
        <v/>
      </c>
      <c r="S320" s="2" cm="1">
        <f t="array" ref="S32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20" s="2" t="str">
        <f>IF(Table1[[#This Row],[New_DoJ]] &gt;= EDATE( MAX(Table1[New_DoJ]), -24), "Yes", "No")</f>
        <v>No</v>
      </c>
    </row>
    <row r="321" spans="1:20" x14ac:dyDescent="0.3">
      <c r="A321" s="4">
        <v>413842</v>
      </c>
      <c r="B321" s="5" t="s">
        <v>857</v>
      </c>
      <c r="C321" s="5" t="s">
        <v>79</v>
      </c>
      <c r="D321" s="5" t="s">
        <v>858</v>
      </c>
      <c r="E321" s="5" t="s">
        <v>33</v>
      </c>
      <c r="F321" s="15">
        <v>33155</v>
      </c>
      <c r="G321" s="5">
        <v>3</v>
      </c>
      <c r="H321" s="5" t="s">
        <v>17</v>
      </c>
      <c r="I321" s="5">
        <v>0</v>
      </c>
      <c r="J321" s="5" t="s">
        <v>24</v>
      </c>
      <c r="K321" s="12">
        <v>40000</v>
      </c>
      <c r="L321" s="5" t="s">
        <v>25</v>
      </c>
      <c r="M321" s="6" t="s">
        <v>20</v>
      </c>
      <c r="N321" s="15">
        <v>22939</v>
      </c>
      <c r="O321" s="15">
        <v>33155</v>
      </c>
      <c r="P321" s="5"/>
      <c r="Q321" s="2" t="str">
        <f>INDEX(Table3[#All], MATCH(Table1[[#This Row],[Dept_Id]], Table3[[#All],[Dept_Id]], 0), 1)</f>
        <v>Production</v>
      </c>
      <c r="R321" s="22" t="str">
        <f>IF(Table1[[#This Row],[Left?]] = 1, (Table1[[#This Row],[New_Last_Date]]-Table1[[#This Row],[New_DoJ]])/365.25, "")</f>
        <v/>
      </c>
      <c r="S321" s="2" cm="1">
        <f t="array" ref="S32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21" s="2" t="str">
        <f>IF(Table1[[#This Row],[New_DoJ]] &gt;= EDATE( MAX(Table1[New_DoJ]), -24), "Yes", "No")</f>
        <v>No</v>
      </c>
    </row>
    <row r="322" spans="1:20" x14ac:dyDescent="0.3">
      <c r="A322" s="4">
        <v>10192</v>
      </c>
      <c r="B322" s="5" t="s">
        <v>859</v>
      </c>
      <c r="C322" s="5" t="s">
        <v>860</v>
      </c>
      <c r="D322" s="5" t="s">
        <v>861</v>
      </c>
      <c r="E322" s="5" t="s">
        <v>16</v>
      </c>
      <c r="F322" s="15">
        <v>32307</v>
      </c>
      <c r="G322" s="5">
        <v>10</v>
      </c>
      <c r="H322" s="5" t="s">
        <v>29</v>
      </c>
      <c r="I322" s="5">
        <v>0</v>
      </c>
      <c r="J322" s="5" t="s">
        <v>24</v>
      </c>
      <c r="K322" s="12">
        <v>40000</v>
      </c>
      <c r="L322" s="5" t="s">
        <v>25</v>
      </c>
      <c r="M322" s="6" t="s">
        <v>20</v>
      </c>
      <c r="N322" s="15">
        <v>22175</v>
      </c>
      <c r="O322" s="15">
        <v>32307</v>
      </c>
      <c r="P322" s="5"/>
      <c r="Q322" s="2" t="str">
        <f>INDEX(Table3[#All], MATCH(Table1[[#This Row],[Dept_Id]], Table3[[#All],[Dept_Id]], 0), 1)</f>
        <v>Production</v>
      </c>
      <c r="R322" s="22" t="str">
        <f>IF(Table1[[#This Row],[Left?]] = 1, (Table1[[#This Row],[New_Last_Date]]-Table1[[#This Row],[New_DoJ]])/365.25, "")</f>
        <v/>
      </c>
      <c r="S322" s="2" cm="1">
        <f t="array" ref="S32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22" s="2" t="str">
        <f>IF(Table1[[#This Row],[New_DoJ]] &gt;= EDATE( MAX(Table1[New_DoJ]), -24), "Yes", "No")</f>
        <v>No</v>
      </c>
    </row>
    <row r="323" spans="1:20" x14ac:dyDescent="0.3">
      <c r="A323" s="4">
        <v>10192</v>
      </c>
      <c r="B323" s="5" t="s">
        <v>859</v>
      </c>
      <c r="C323" s="5" t="s">
        <v>860</v>
      </c>
      <c r="D323" s="5" t="s">
        <v>861</v>
      </c>
      <c r="E323" s="5" t="s">
        <v>16</v>
      </c>
      <c r="F323" s="15">
        <v>32307</v>
      </c>
      <c r="G323" s="5">
        <v>10</v>
      </c>
      <c r="H323" s="5" t="s">
        <v>29</v>
      </c>
      <c r="I323" s="5">
        <v>0</v>
      </c>
      <c r="J323" s="5" t="s">
        <v>24</v>
      </c>
      <c r="K323" s="12">
        <v>40000</v>
      </c>
      <c r="L323" s="5" t="s">
        <v>63</v>
      </c>
      <c r="M323" s="6" t="s">
        <v>20</v>
      </c>
      <c r="N323" s="15">
        <v>22175</v>
      </c>
      <c r="O323" s="15">
        <v>32307</v>
      </c>
      <c r="P323" s="5"/>
      <c r="Q323" s="2" t="str">
        <f>INDEX(Table3[#All], MATCH(Table1[[#This Row],[Dept_Id]], Table3[[#All],[Dept_Id]], 0), 1)</f>
        <v>Quality Management</v>
      </c>
      <c r="R323" s="22" t="str">
        <f>IF(Table1[[#This Row],[Left?]] = 1, (Table1[[#This Row],[New_Last_Date]]-Table1[[#This Row],[New_DoJ]])/365.25, "")</f>
        <v/>
      </c>
      <c r="S323" s="2" cm="1">
        <f t="array" ref="S32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23" s="2" t="str">
        <f>IF(Table1[[#This Row],[New_DoJ]] &gt;= EDATE( MAX(Table1[New_DoJ]), -24), "Yes", "No")</f>
        <v>No</v>
      </c>
    </row>
    <row r="324" spans="1:20" x14ac:dyDescent="0.3">
      <c r="A324" s="4">
        <v>464798</v>
      </c>
      <c r="B324" s="5" t="s">
        <v>862</v>
      </c>
      <c r="C324" s="5" t="s">
        <v>863</v>
      </c>
      <c r="D324" s="5" t="s">
        <v>823</v>
      </c>
      <c r="E324" s="5" t="s">
        <v>16</v>
      </c>
      <c r="F324" s="15">
        <v>32590</v>
      </c>
      <c r="G324" s="5">
        <v>3</v>
      </c>
      <c r="H324" s="5" t="s">
        <v>29</v>
      </c>
      <c r="I324" s="5">
        <v>0</v>
      </c>
      <c r="J324" s="5" t="s">
        <v>24</v>
      </c>
      <c r="K324" s="12">
        <v>46791</v>
      </c>
      <c r="L324" s="5" t="s">
        <v>25</v>
      </c>
      <c r="M324" s="6" t="s">
        <v>20</v>
      </c>
      <c r="N324" s="15">
        <v>19773</v>
      </c>
      <c r="O324" s="15">
        <v>32590</v>
      </c>
      <c r="P324" s="5"/>
      <c r="Q324" s="2" t="str">
        <f>INDEX(Table3[#All], MATCH(Table1[[#This Row],[Dept_Id]], Table3[[#All],[Dept_Id]], 0), 1)</f>
        <v>Production</v>
      </c>
      <c r="R324" s="22" t="str">
        <f>IF(Table1[[#This Row],[Left?]] = 1, (Table1[[#This Row],[New_Last_Date]]-Table1[[#This Row],[New_DoJ]])/365.25, "")</f>
        <v/>
      </c>
      <c r="S324" s="2" cm="1">
        <f t="array" ref="S32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24" s="2" t="str">
        <f>IF(Table1[[#This Row],[New_DoJ]] &gt;= EDATE( MAX(Table1[New_DoJ]), -24), "Yes", "No")</f>
        <v>No</v>
      </c>
    </row>
    <row r="325" spans="1:20" x14ac:dyDescent="0.3">
      <c r="A325" s="4">
        <v>10193</v>
      </c>
      <c r="B325" s="5" t="s">
        <v>864</v>
      </c>
      <c r="C325" s="5" t="s">
        <v>865</v>
      </c>
      <c r="D325" s="5" t="s">
        <v>866</v>
      </c>
      <c r="E325" s="5" t="s">
        <v>16</v>
      </c>
      <c r="F325" s="15">
        <v>33447</v>
      </c>
      <c r="G325" s="5">
        <v>1</v>
      </c>
      <c r="H325" s="5" t="s">
        <v>17</v>
      </c>
      <c r="I325" s="5">
        <v>0</v>
      </c>
      <c r="J325" s="5" t="s">
        <v>24</v>
      </c>
      <c r="K325" s="12">
        <v>48733</v>
      </c>
      <c r="L325" s="5" t="s">
        <v>19</v>
      </c>
      <c r="M325" s="6" t="s">
        <v>50</v>
      </c>
      <c r="N325" s="15">
        <v>22096</v>
      </c>
      <c r="O325" s="15">
        <v>33447</v>
      </c>
      <c r="P325" s="5"/>
      <c r="Q325" s="2" t="str">
        <f>INDEX(Table3[#All], MATCH(Table1[[#This Row],[Dept_Id]], Table3[[#All],[Dept_Id]], 0), 1)</f>
        <v>Development</v>
      </c>
      <c r="R325" s="22" t="str">
        <f>IF(Table1[[#This Row],[Left?]] = 1, (Table1[[#This Row],[New_Last_Date]]-Table1[[#This Row],[New_DoJ]])/365.25, "")</f>
        <v/>
      </c>
      <c r="S325" s="2" cm="1">
        <f t="array" ref="S32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25" s="2" t="str">
        <f>IF(Table1[[#This Row],[New_DoJ]] &gt;= EDATE( MAX(Table1[New_DoJ]), -24), "Yes", "No")</f>
        <v>No</v>
      </c>
    </row>
    <row r="326" spans="1:20" x14ac:dyDescent="0.3">
      <c r="A326" s="4">
        <v>10194</v>
      </c>
      <c r="B326" s="5" t="s">
        <v>867</v>
      </c>
      <c r="C326" s="5" t="s">
        <v>868</v>
      </c>
      <c r="D326" s="5" t="s">
        <v>869</v>
      </c>
      <c r="E326" s="5" t="s">
        <v>33</v>
      </c>
      <c r="F326" s="15">
        <v>32643</v>
      </c>
      <c r="G326" s="5">
        <v>3</v>
      </c>
      <c r="H326" s="5" t="s">
        <v>29</v>
      </c>
      <c r="I326" s="5">
        <v>0</v>
      </c>
      <c r="J326" s="5" t="s">
        <v>24</v>
      </c>
      <c r="K326" s="12">
        <v>64941</v>
      </c>
      <c r="L326" s="5" t="s">
        <v>92</v>
      </c>
      <c r="M326" s="6" t="s">
        <v>39</v>
      </c>
      <c r="N326" s="15">
        <v>19753</v>
      </c>
      <c r="O326" s="15">
        <v>32643</v>
      </c>
      <c r="P326" s="5"/>
      <c r="Q326" s="2" t="str">
        <f>INDEX(Table3[#All], MATCH(Table1[[#This Row],[Dept_Id]], Table3[[#All],[Dept_Id]], 0), 1)</f>
        <v>Finance</v>
      </c>
      <c r="R326" s="22" t="str">
        <f>IF(Table1[[#This Row],[Left?]] = 1, (Table1[[#This Row],[New_Last_Date]]-Table1[[#This Row],[New_DoJ]])/365.25, "")</f>
        <v/>
      </c>
      <c r="S326" s="2" cm="1">
        <f t="array" ref="S32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26" s="2" t="str">
        <f>IF(Table1[[#This Row],[New_DoJ]] &gt;= EDATE( MAX(Table1[New_DoJ]), -24), "Yes", "No")</f>
        <v>No</v>
      </c>
    </row>
    <row r="327" spans="1:20" x14ac:dyDescent="0.3">
      <c r="A327" s="4">
        <v>37176</v>
      </c>
      <c r="B327" s="5" t="s">
        <v>870</v>
      </c>
      <c r="C327" s="5" t="s">
        <v>871</v>
      </c>
      <c r="D327" s="5" t="s">
        <v>872</v>
      </c>
      <c r="E327" s="5" t="s">
        <v>16</v>
      </c>
      <c r="F327" s="15">
        <v>32167</v>
      </c>
      <c r="G327" s="5">
        <v>10</v>
      </c>
      <c r="H327" s="5" t="s">
        <v>17</v>
      </c>
      <c r="I327" s="5">
        <v>0</v>
      </c>
      <c r="J327" s="5" t="s">
        <v>24</v>
      </c>
      <c r="K327" s="12">
        <v>45396</v>
      </c>
      <c r="L327" s="5" t="s">
        <v>25</v>
      </c>
      <c r="M327" s="6" t="s">
        <v>20</v>
      </c>
      <c r="N327" s="15">
        <v>20149</v>
      </c>
      <c r="O327" s="15">
        <v>32167</v>
      </c>
      <c r="P327" s="5"/>
      <c r="Q327" s="2" t="str">
        <f>INDEX(Table3[#All], MATCH(Table1[[#This Row],[Dept_Id]], Table3[[#All],[Dept_Id]], 0), 1)</f>
        <v>Production</v>
      </c>
      <c r="R327" s="22" t="str">
        <f>IF(Table1[[#This Row],[Left?]] = 1, (Table1[[#This Row],[New_Last_Date]]-Table1[[#This Row],[New_DoJ]])/365.25, "")</f>
        <v/>
      </c>
      <c r="S327" s="2" cm="1">
        <f t="array" ref="S32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27" s="2" t="str">
        <f>IF(Table1[[#This Row],[New_DoJ]] &gt;= EDATE( MAX(Table1[New_DoJ]), -24), "Yes", "No")</f>
        <v>No</v>
      </c>
    </row>
    <row r="328" spans="1:20" x14ac:dyDescent="0.3">
      <c r="A328" s="4">
        <v>10195</v>
      </c>
      <c r="B328" s="5" t="s">
        <v>536</v>
      </c>
      <c r="C328" s="5" t="s">
        <v>873</v>
      </c>
      <c r="D328" s="5" t="s">
        <v>874</v>
      </c>
      <c r="E328" s="5" t="s">
        <v>16</v>
      </c>
      <c r="F328" s="15">
        <v>31093</v>
      </c>
      <c r="G328" s="5">
        <v>4</v>
      </c>
      <c r="H328" s="5" t="s">
        <v>29</v>
      </c>
      <c r="I328" s="5">
        <v>0</v>
      </c>
      <c r="J328" s="5" t="s">
        <v>24</v>
      </c>
      <c r="K328" s="12">
        <v>40000</v>
      </c>
      <c r="L328" s="5" t="s">
        <v>25</v>
      </c>
      <c r="M328" s="6" t="s">
        <v>20</v>
      </c>
      <c r="N328" s="15">
        <v>23328</v>
      </c>
      <c r="O328" s="15">
        <v>31093</v>
      </c>
      <c r="P328" s="5"/>
      <c r="Q328" s="2" t="str">
        <f>INDEX(Table3[#All], MATCH(Table1[[#This Row],[Dept_Id]], Table3[[#All],[Dept_Id]], 0), 1)</f>
        <v>Production</v>
      </c>
      <c r="R328" s="22" t="str">
        <f>IF(Table1[[#This Row],[Left?]] = 1, (Table1[[#This Row],[New_Last_Date]]-Table1[[#This Row],[New_DoJ]])/365.25, "")</f>
        <v/>
      </c>
      <c r="S328" s="2" cm="1">
        <f t="array" ref="S32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28" s="2" t="str">
        <f>IF(Table1[[#This Row],[New_DoJ]] &gt;= EDATE( MAX(Table1[New_DoJ]), -24), "Yes", "No")</f>
        <v>No</v>
      </c>
    </row>
    <row r="329" spans="1:20" x14ac:dyDescent="0.3">
      <c r="A329" s="4">
        <v>10196</v>
      </c>
      <c r="B329" s="5" t="s">
        <v>875</v>
      </c>
      <c r="C329" s="5" t="s">
        <v>876</v>
      </c>
      <c r="D329" s="5" t="s">
        <v>877</v>
      </c>
      <c r="E329" s="5" t="s">
        <v>16</v>
      </c>
      <c r="F329" s="15">
        <v>34654</v>
      </c>
      <c r="G329" s="5">
        <v>6</v>
      </c>
      <c r="H329" s="5" t="s">
        <v>34</v>
      </c>
      <c r="I329" s="5">
        <v>0</v>
      </c>
      <c r="J329" s="5" t="s">
        <v>24</v>
      </c>
      <c r="K329" s="12">
        <v>86671</v>
      </c>
      <c r="L329" s="5" t="s">
        <v>92</v>
      </c>
      <c r="M329" s="6" t="s">
        <v>39</v>
      </c>
      <c r="N329" s="15">
        <v>19751</v>
      </c>
      <c r="O329" s="15">
        <v>34654</v>
      </c>
      <c r="P329" s="5"/>
      <c r="Q329" s="2" t="str">
        <f>INDEX(Table3[#All], MATCH(Table1[[#This Row],[Dept_Id]], Table3[[#All],[Dept_Id]], 0), 1)</f>
        <v>Finance</v>
      </c>
      <c r="R329" s="22" t="str">
        <f>IF(Table1[[#This Row],[Left?]] = 1, (Table1[[#This Row],[New_Last_Date]]-Table1[[#This Row],[New_DoJ]])/365.25, "")</f>
        <v/>
      </c>
      <c r="S329" s="2" cm="1">
        <f t="array" ref="S32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29" s="2" t="str">
        <f>IF(Table1[[#This Row],[New_DoJ]] &gt;= EDATE( MAX(Table1[New_DoJ]), -24), "Yes", "No")</f>
        <v>No</v>
      </c>
    </row>
    <row r="330" spans="1:20" x14ac:dyDescent="0.3">
      <c r="A330" s="4">
        <v>109820</v>
      </c>
      <c r="B330" s="5" t="s">
        <v>878</v>
      </c>
      <c r="C330" s="5" t="s">
        <v>879</v>
      </c>
      <c r="D330" s="5" t="s">
        <v>880</v>
      </c>
      <c r="E330" s="5" t="s">
        <v>33</v>
      </c>
      <c r="F330" s="15">
        <v>31759</v>
      </c>
      <c r="G330" s="5">
        <v>1</v>
      </c>
      <c r="H330" s="5" t="s">
        <v>17</v>
      </c>
      <c r="I330" s="5">
        <v>0</v>
      </c>
      <c r="J330" s="5" t="s">
        <v>24</v>
      </c>
      <c r="K330" s="12">
        <v>40000</v>
      </c>
      <c r="L330" s="5" t="s">
        <v>19</v>
      </c>
      <c r="M330" s="6" t="s">
        <v>59</v>
      </c>
      <c r="N330" s="15">
        <v>19309</v>
      </c>
      <c r="O330" s="15">
        <v>31759</v>
      </c>
      <c r="P330" s="5"/>
      <c r="Q330" s="2" t="str">
        <f>INDEX(Table3[#All], MATCH(Table1[[#This Row],[Dept_Id]], Table3[[#All],[Dept_Id]], 0), 1)</f>
        <v>Development</v>
      </c>
      <c r="R330" s="22" t="str">
        <f>IF(Table1[[#This Row],[Left?]] = 1, (Table1[[#This Row],[New_Last_Date]]-Table1[[#This Row],[New_DoJ]])/365.25, "")</f>
        <v/>
      </c>
      <c r="S330" s="2" cm="1">
        <f t="array" ref="S33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30" s="2" t="str">
        <f>IF(Table1[[#This Row],[New_DoJ]] &gt;= EDATE( MAX(Table1[New_DoJ]), -24), "Yes", "No")</f>
        <v>No</v>
      </c>
    </row>
    <row r="331" spans="1:20" x14ac:dyDescent="0.3">
      <c r="A331" s="4">
        <v>10197</v>
      </c>
      <c r="B331" s="5" t="s">
        <v>881</v>
      </c>
      <c r="C331" s="5" t="s">
        <v>882</v>
      </c>
      <c r="D331" s="5" t="s">
        <v>883</v>
      </c>
      <c r="E331" s="5" t="s">
        <v>33</v>
      </c>
      <c r="F331" s="15">
        <v>34295</v>
      </c>
      <c r="G331" s="5">
        <v>2</v>
      </c>
      <c r="H331" s="5" t="s">
        <v>34</v>
      </c>
      <c r="I331" s="5">
        <v>0</v>
      </c>
      <c r="J331" s="5" t="s">
        <v>24</v>
      </c>
      <c r="K331" s="12">
        <v>40000</v>
      </c>
      <c r="L331" s="5" t="s">
        <v>19</v>
      </c>
      <c r="M331" s="6" t="s">
        <v>20</v>
      </c>
      <c r="N331" s="15">
        <v>23229</v>
      </c>
      <c r="O331" s="15">
        <v>34295</v>
      </c>
      <c r="P331" s="5"/>
      <c r="Q331" s="2" t="str">
        <f>INDEX(Table3[#All], MATCH(Table1[[#This Row],[Dept_Id]], Table3[[#All],[Dept_Id]], 0), 1)</f>
        <v>Development</v>
      </c>
      <c r="R331" s="22" t="str">
        <f>IF(Table1[[#This Row],[Left?]] = 1, (Table1[[#This Row],[New_Last_Date]]-Table1[[#This Row],[New_DoJ]])/365.25, "")</f>
        <v/>
      </c>
      <c r="S331" s="2" cm="1">
        <f t="array" ref="S33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31" s="2" t="str">
        <f>IF(Table1[[#This Row],[New_DoJ]] &gt;= EDATE( MAX(Table1[New_DoJ]), -24), "Yes", "No")</f>
        <v>No</v>
      </c>
    </row>
    <row r="332" spans="1:20" x14ac:dyDescent="0.3">
      <c r="A332" s="4">
        <v>10198</v>
      </c>
      <c r="B332" s="5" t="s">
        <v>884</v>
      </c>
      <c r="C332" s="5" t="s">
        <v>885</v>
      </c>
      <c r="D332" s="5" t="s">
        <v>886</v>
      </c>
      <c r="E332" s="5" t="s">
        <v>16</v>
      </c>
      <c r="F332" s="15">
        <v>31290</v>
      </c>
      <c r="G332" s="5">
        <v>10</v>
      </c>
      <c r="H332" s="5" t="s">
        <v>29</v>
      </c>
      <c r="I332" s="5">
        <v>0</v>
      </c>
      <c r="J332" s="5" t="s">
        <v>24</v>
      </c>
      <c r="K332" s="12">
        <v>44076</v>
      </c>
      <c r="L332" s="5" t="s">
        <v>19</v>
      </c>
      <c r="M332" s="6" t="s">
        <v>20</v>
      </c>
      <c r="N332" s="15">
        <v>19507</v>
      </c>
      <c r="O332" s="15">
        <v>31290</v>
      </c>
      <c r="P332" s="5"/>
      <c r="Q332" s="2" t="str">
        <f>INDEX(Table3[#All], MATCH(Table1[[#This Row],[Dept_Id]], Table3[[#All],[Dept_Id]], 0), 1)</f>
        <v>Development</v>
      </c>
      <c r="R332" s="22" t="str">
        <f>IF(Table1[[#This Row],[Left?]] = 1, (Table1[[#This Row],[New_Last_Date]]-Table1[[#This Row],[New_DoJ]])/365.25, "")</f>
        <v/>
      </c>
      <c r="S332" s="2" cm="1">
        <f t="array" ref="S33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32" s="2" t="str">
        <f>IF(Table1[[#This Row],[New_DoJ]] &gt;= EDATE( MAX(Table1[New_DoJ]), -24), "Yes", "No")</f>
        <v>No</v>
      </c>
    </row>
    <row r="333" spans="1:20" x14ac:dyDescent="0.3">
      <c r="A333" s="4">
        <v>246896</v>
      </c>
      <c r="B333" s="5" t="s">
        <v>887</v>
      </c>
      <c r="C333" s="5" t="s">
        <v>888</v>
      </c>
      <c r="D333" s="5" t="s">
        <v>889</v>
      </c>
      <c r="E333" s="5" t="s">
        <v>33</v>
      </c>
      <c r="F333" s="15">
        <v>35270</v>
      </c>
      <c r="G333" s="5">
        <v>6</v>
      </c>
      <c r="H333" s="5" t="s">
        <v>29</v>
      </c>
      <c r="I333" s="5">
        <v>0</v>
      </c>
      <c r="J333" s="5" t="s">
        <v>24</v>
      </c>
      <c r="K333" s="12">
        <v>60075</v>
      </c>
      <c r="L333" s="5" t="s">
        <v>25</v>
      </c>
      <c r="M333" s="6" t="s">
        <v>50</v>
      </c>
      <c r="N333" s="15">
        <v>21258</v>
      </c>
      <c r="O333" s="15">
        <v>35270</v>
      </c>
      <c r="P333" s="5"/>
      <c r="Q333" s="2" t="str">
        <f>INDEX(Table3[#All], MATCH(Table1[[#This Row],[Dept_Id]], Table3[[#All],[Dept_Id]], 0), 1)</f>
        <v>Production</v>
      </c>
      <c r="R333" s="22" t="str">
        <f>IF(Table1[[#This Row],[Left?]] = 1, (Table1[[#This Row],[New_Last_Date]]-Table1[[#This Row],[New_DoJ]])/365.25, "")</f>
        <v/>
      </c>
      <c r="S333" s="2" cm="1">
        <f t="array" ref="S33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33" s="2" t="str">
        <f>IF(Table1[[#This Row],[New_DoJ]] &gt;= EDATE( MAX(Table1[New_DoJ]), -24), "Yes", "No")</f>
        <v>No</v>
      </c>
    </row>
    <row r="334" spans="1:20" x14ac:dyDescent="0.3">
      <c r="A334" s="4">
        <v>10199</v>
      </c>
      <c r="B334" s="5" t="s">
        <v>319</v>
      </c>
      <c r="C334" s="5" t="s">
        <v>890</v>
      </c>
      <c r="D334" s="5" t="s">
        <v>891</v>
      </c>
      <c r="E334" s="5" t="s">
        <v>16</v>
      </c>
      <c r="F334" s="15">
        <v>35549</v>
      </c>
      <c r="G334" s="5">
        <v>8</v>
      </c>
      <c r="H334" s="5" t="s">
        <v>17</v>
      </c>
      <c r="I334" s="5">
        <v>0</v>
      </c>
      <c r="J334" s="5" t="s">
        <v>24</v>
      </c>
      <c r="K334" s="12">
        <v>42042</v>
      </c>
      <c r="L334" s="5" t="s">
        <v>38</v>
      </c>
      <c r="M334" s="6" t="s">
        <v>39</v>
      </c>
      <c r="N334" s="15">
        <v>21647</v>
      </c>
      <c r="O334" s="15">
        <v>35549</v>
      </c>
      <c r="P334" s="5"/>
      <c r="Q334" s="2" t="str">
        <f>INDEX(Table3[#All], MATCH(Table1[[#This Row],[Dept_Id]], Table3[[#All],[Dept_Id]], 0), 1)</f>
        <v>Sales</v>
      </c>
      <c r="R334" s="22" t="str">
        <f>IF(Table1[[#This Row],[Left?]] = 1, (Table1[[#This Row],[New_Last_Date]]-Table1[[#This Row],[New_DoJ]])/365.25, "")</f>
        <v/>
      </c>
      <c r="S334" s="2" cm="1">
        <f t="array" ref="S33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34" s="2" t="str">
        <f>IF(Table1[[#This Row],[New_DoJ]] &gt;= EDATE( MAX(Table1[New_DoJ]), -24), "Yes", "No")</f>
        <v>No</v>
      </c>
    </row>
    <row r="335" spans="1:20" x14ac:dyDescent="0.3">
      <c r="A335" s="4">
        <v>10200</v>
      </c>
      <c r="B335" s="5" t="s">
        <v>112</v>
      </c>
      <c r="C335" s="5" t="s">
        <v>892</v>
      </c>
      <c r="D335" s="5" t="s">
        <v>327</v>
      </c>
      <c r="E335" s="5" t="s">
        <v>16</v>
      </c>
      <c r="F335" s="15">
        <v>31336</v>
      </c>
      <c r="G335" s="5">
        <v>3</v>
      </c>
      <c r="H335" s="5" t="s">
        <v>34</v>
      </c>
      <c r="I335" s="5">
        <v>0</v>
      </c>
      <c r="J335" s="5" t="s">
        <v>24</v>
      </c>
      <c r="K335" s="12">
        <v>46879</v>
      </c>
      <c r="L335" s="5" t="s">
        <v>25</v>
      </c>
      <c r="M335" s="6" t="s">
        <v>20</v>
      </c>
      <c r="N335" s="15">
        <v>22646</v>
      </c>
      <c r="O335" s="15">
        <v>31336</v>
      </c>
      <c r="P335" s="5"/>
      <c r="Q335" s="2" t="str">
        <f>INDEX(Table3[#All], MATCH(Table1[[#This Row],[Dept_Id]], Table3[[#All],[Dept_Id]], 0), 1)</f>
        <v>Production</v>
      </c>
      <c r="R335" s="22" t="str">
        <f>IF(Table1[[#This Row],[Left?]] = 1, (Table1[[#This Row],[New_Last_Date]]-Table1[[#This Row],[New_DoJ]])/365.25, "")</f>
        <v/>
      </c>
      <c r="S335" s="2" cm="1">
        <f t="array" ref="S33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35" s="2" t="str">
        <f>IF(Table1[[#This Row],[New_DoJ]] &gt;= EDATE( MAX(Table1[New_DoJ]), -24), "Yes", "No")</f>
        <v>No</v>
      </c>
    </row>
    <row r="336" spans="1:20" x14ac:dyDescent="0.3">
      <c r="A336" s="4">
        <v>10200</v>
      </c>
      <c r="B336" s="5" t="s">
        <v>112</v>
      </c>
      <c r="C336" s="5" t="s">
        <v>892</v>
      </c>
      <c r="D336" s="5" t="s">
        <v>327</v>
      </c>
      <c r="E336" s="5" t="s">
        <v>16</v>
      </c>
      <c r="F336" s="15">
        <v>31336</v>
      </c>
      <c r="G336" s="5">
        <v>3</v>
      </c>
      <c r="H336" s="5" t="s">
        <v>34</v>
      </c>
      <c r="I336" s="5">
        <v>0</v>
      </c>
      <c r="J336" s="5" t="s">
        <v>24</v>
      </c>
      <c r="K336" s="12">
        <v>46879</v>
      </c>
      <c r="L336" s="5" t="s">
        <v>63</v>
      </c>
      <c r="M336" s="6" t="s">
        <v>20</v>
      </c>
      <c r="N336" s="15">
        <v>22646</v>
      </c>
      <c r="O336" s="15">
        <v>31336</v>
      </c>
      <c r="P336" s="5"/>
      <c r="Q336" s="2" t="str">
        <f>INDEX(Table3[#All], MATCH(Table1[[#This Row],[Dept_Id]], Table3[[#All],[Dept_Id]], 0), 1)</f>
        <v>Quality Management</v>
      </c>
      <c r="R336" s="22" t="str">
        <f>IF(Table1[[#This Row],[Left?]] = 1, (Table1[[#This Row],[New_Last_Date]]-Table1[[#This Row],[New_DoJ]])/365.25, "")</f>
        <v/>
      </c>
      <c r="S336" s="2" cm="1">
        <f t="array" ref="S33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36" s="2" t="str">
        <f>IF(Table1[[#This Row],[New_DoJ]] &gt;= EDATE( MAX(Table1[New_DoJ]), -24), "Yes", "No")</f>
        <v>No</v>
      </c>
    </row>
    <row r="337" spans="1:20" x14ac:dyDescent="0.3">
      <c r="A337" s="4">
        <v>10201</v>
      </c>
      <c r="B337" s="5" t="s">
        <v>621</v>
      </c>
      <c r="C337" s="5" t="s">
        <v>893</v>
      </c>
      <c r="D337" s="5" t="s">
        <v>894</v>
      </c>
      <c r="E337" s="5" t="s">
        <v>33</v>
      </c>
      <c r="F337" s="15">
        <v>31738</v>
      </c>
      <c r="G337" s="5">
        <v>1</v>
      </c>
      <c r="H337" s="5" t="s">
        <v>291</v>
      </c>
      <c r="I337" s="5">
        <v>0</v>
      </c>
      <c r="J337" s="5" t="s">
        <v>24</v>
      </c>
      <c r="K337" s="12">
        <v>40000</v>
      </c>
      <c r="L337" s="5" t="s">
        <v>19</v>
      </c>
      <c r="M337" s="6" t="s">
        <v>20</v>
      </c>
      <c r="N337" s="15">
        <v>20804</v>
      </c>
      <c r="O337" s="15">
        <v>31738</v>
      </c>
      <c r="P337" s="5"/>
      <c r="Q337" s="2" t="str">
        <f>INDEX(Table3[#All], MATCH(Table1[[#This Row],[Dept_Id]], Table3[[#All],[Dept_Id]], 0), 1)</f>
        <v>Development</v>
      </c>
      <c r="R337" s="22" t="str">
        <f>IF(Table1[[#This Row],[Left?]] = 1, (Table1[[#This Row],[New_Last_Date]]-Table1[[#This Row],[New_DoJ]])/365.25, "")</f>
        <v/>
      </c>
      <c r="S337" s="2" cm="1">
        <f t="array" ref="S33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5</v>
      </c>
      <c r="T337" s="2" t="str">
        <f>IF(Table1[[#This Row],[New_DoJ]] &gt;= EDATE( MAX(Table1[New_DoJ]), -24), "Yes", "No")</f>
        <v>No</v>
      </c>
    </row>
    <row r="338" spans="1:20" x14ac:dyDescent="0.3">
      <c r="A338" s="4">
        <v>217945</v>
      </c>
      <c r="B338" s="5" t="s">
        <v>895</v>
      </c>
      <c r="C338" s="5" t="s">
        <v>896</v>
      </c>
      <c r="D338" s="5" t="s">
        <v>897</v>
      </c>
      <c r="E338" s="5" t="s">
        <v>16</v>
      </c>
      <c r="F338" s="15">
        <v>31746</v>
      </c>
      <c r="G338" s="5">
        <v>7</v>
      </c>
      <c r="H338" s="5" t="s">
        <v>115</v>
      </c>
      <c r="I338" s="5">
        <v>0</v>
      </c>
      <c r="J338" s="5" t="s">
        <v>24</v>
      </c>
      <c r="K338" s="12">
        <v>88260</v>
      </c>
      <c r="L338" s="5" t="s">
        <v>38</v>
      </c>
      <c r="M338" s="6" t="s">
        <v>87</v>
      </c>
      <c r="N338" s="15">
        <v>19437</v>
      </c>
      <c r="O338" s="15">
        <v>31746</v>
      </c>
      <c r="P338" s="5"/>
      <c r="Q338" s="2" t="str">
        <f>INDEX(Table3[#All], MATCH(Table1[[#This Row],[Dept_Id]], Table3[[#All],[Dept_Id]], 0), 1)</f>
        <v>Sales</v>
      </c>
      <c r="R338" s="22" t="str">
        <f>IF(Table1[[#This Row],[Left?]] = 1, (Table1[[#This Row],[New_Last_Date]]-Table1[[#This Row],[New_DoJ]])/365.25, "")</f>
        <v/>
      </c>
      <c r="S338" s="2" cm="1">
        <f t="array" ref="S33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338" s="2" t="str">
        <f>IF(Table1[[#This Row],[New_DoJ]] &gt;= EDATE( MAX(Table1[New_DoJ]), -24), "Yes", "No")</f>
        <v>No</v>
      </c>
    </row>
    <row r="339" spans="1:20" x14ac:dyDescent="0.3">
      <c r="A339" s="4">
        <v>10202</v>
      </c>
      <c r="B339" s="5" t="s">
        <v>898</v>
      </c>
      <c r="C339" s="5" t="s">
        <v>899</v>
      </c>
      <c r="D339" s="5" t="s">
        <v>696</v>
      </c>
      <c r="E339" s="5" t="s">
        <v>16</v>
      </c>
      <c r="F339" s="15">
        <v>33517</v>
      </c>
      <c r="G339" s="5">
        <v>5</v>
      </c>
      <c r="H339" s="5" t="s">
        <v>29</v>
      </c>
      <c r="I339" s="5">
        <v>0</v>
      </c>
      <c r="J339" s="5" t="s">
        <v>24</v>
      </c>
      <c r="K339" s="12">
        <v>47338</v>
      </c>
      <c r="L339" s="5" t="s">
        <v>19</v>
      </c>
      <c r="M339" s="6" t="s">
        <v>20</v>
      </c>
      <c r="N339" s="15">
        <v>20459</v>
      </c>
      <c r="O339" s="15">
        <v>33517</v>
      </c>
      <c r="P339" s="5"/>
      <c r="Q339" s="2" t="str">
        <f>INDEX(Table3[#All], MATCH(Table1[[#This Row],[Dept_Id]], Table3[[#All],[Dept_Id]], 0), 1)</f>
        <v>Development</v>
      </c>
      <c r="R339" s="22" t="str">
        <f>IF(Table1[[#This Row],[Left?]] = 1, (Table1[[#This Row],[New_Last_Date]]-Table1[[#This Row],[New_DoJ]])/365.25, "")</f>
        <v/>
      </c>
      <c r="S339" s="2" cm="1">
        <f t="array" ref="S33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39" s="2" t="str">
        <f>IF(Table1[[#This Row],[New_DoJ]] &gt;= EDATE( MAX(Table1[New_DoJ]), -24), "Yes", "No")</f>
        <v>No</v>
      </c>
    </row>
    <row r="340" spans="1:20" x14ac:dyDescent="0.3">
      <c r="A340" s="4">
        <v>10203</v>
      </c>
      <c r="B340" s="5" t="s">
        <v>900</v>
      </c>
      <c r="C340" s="5" t="s">
        <v>901</v>
      </c>
      <c r="D340" s="5" t="s">
        <v>242</v>
      </c>
      <c r="E340" s="5" t="s">
        <v>16</v>
      </c>
      <c r="F340" s="15">
        <v>32604</v>
      </c>
      <c r="G340" s="5">
        <v>5</v>
      </c>
      <c r="H340" s="5" t="s">
        <v>29</v>
      </c>
      <c r="I340" s="5">
        <v>0</v>
      </c>
      <c r="J340" s="5" t="s">
        <v>24</v>
      </c>
      <c r="K340" s="12">
        <v>40000</v>
      </c>
      <c r="L340" s="5" t="s">
        <v>55</v>
      </c>
      <c r="M340" s="6" t="s">
        <v>39</v>
      </c>
      <c r="N340" s="15">
        <v>20297</v>
      </c>
      <c r="O340" s="15">
        <v>32604</v>
      </c>
      <c r="P340" s="5"/>
      <c r="Q340" s="2" t="str">
        <f>INDEX(Table3[#All], MATCH(Table1[[#This Row],[Dept_Id]], Table3[[#All],[Dept_Id]], 0), 1)</f>
        <v>Research</v>
      </c>
      <c r="R340" s="22" t="str">
        <f>IF(Table1[[#This Row],[Left?]] = 1, (Table1[[#This Row],[New_Last_Date]]-Table1[[#This Row],[New_DoJ]])/365.25, "")</f>
        <v/>
      </c>
      <c r="S340" s="2" cm="1">
        <f t="array" ref="S34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40" s="2" t="str">
        <f>IF(Table1[[#This Row],[New_DoJ]] &gt;= EDATE( MAX(Table1[New_DoJ]), -24), "Yes", "No")</f>
        <v>No</v>
      </c>
    </row>
    <row r="341" spans="1:20" x14ac:dyDescent="0.3">
      <c r="A341" s="4">
        <v>109600</v>
      </c>
      <c r="B341" s="5" t="s">
        <v>902</v>
      </c>
      <c r="C341" s="5" t="s">
        <v>903</v>
      </c>
      <c r="D341" s="5" t="s">
        <v>904</v>
      </c>
      <c r="E341" s="5" t="s">
        <v>16</v>
      </c>
      <c r="F341" s="15">
        <v>33533</v>
      </c>
      <c r="G341" s="5">
        <v>9</v>
      </c>
      <c r="H341" s="5" t="s">
        <v>29</v>
      </c>
      <c r="I341" s="5">
        <v>0</v>
      </c>
      <c r="J341" s="5" t="s">
        <v>24</v>
      </c>
      <c r="K341" s="12">
        <v>78057</v>
      </c>
      <c r="L341" s="5" t="s">
        <v>38</v>
      </c>
      <c r="M341" s="6" t="s">
        <v>39</v>
      </c>
      <c r="N341" s="15">
        <v>20191</v>
      </c>
      <c r="O341" s="15">
        <v>33533</v>
      </c>
      <c r="P341" s="5"/>
      <c r="Q341" s="2" t="str">
        <f>INDEX(Table3[#All], MATCH(Table1[[#This Row],[Dept_Id]], Table3[[#All],[Dept_Id]], 0), 1)</f>
        <v>Sales</v>
      </c>
      <c r="R341" s="22" t="str">
        <f>IF(Table1[[#This Row],[Left?]] = 1, (Table1[[#This Row],[New_Last_Date]]-Table1[[#This Row],[New_DoJ]])/365.25, "")</f>
        <v/>
      </c>
      <c r="S341" s="2" cm="1">
        <f t="array" ref="S34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41" s="2" t="str">
        <f>IF(Table1[[#This Row],[New_DoJ]] &gt;= EDATE( MAX(Table1[New_DoJ]), -24), "Yes", "No")</f>
        <v>No</v>
      </c>
    </row>
    <row r="342" spans="1:20" x14ac:dyDescent="0.3">
      <c r="A342" s="4">
        <v>10204</v>
      </c>
      <c r="B342" s="5" t="s">
        <v>905</v>
      </c>
      <c r="C342" s="5" t="s">
        <v>194</v>
      </c>
      <c r="D342" s="5" t="s">
        <v>906</v>
      </c>
      <c r="E342" s="5" t="s">
        <v>33</v>
      </c>
      <c r="F342" s="15">
        <v>31750</v>
      </c>
      <c r="G342" s="5">
        <v>7</v>
      </c>
      <c r="H342" s="5" t="s">
        <v>17</v>
      </c>
      <c r="I342" s="5">
        <v>0</v>
      </c>
      <c r="J342" s="5" t="s">
        <v>24</v>
      </c>
      <c r="K342" s="12">
        <v>40000</v>
      </c>
      <c r="L342" s="5" t="s">
        <v>19</v>
      </c>
      <c r="M342" s="6" t="s">
        <v>50</v>
      </c>
      <c r="N342" s="15">
        <v>20798</v>
      </c>
      <c r="O342" s="15">
        <v>31750</v>
      </c>
      <c r="P342" s="5"/>
      <c r="Q342" s="2" t="str">
        <f>INDEX(Table3[#All], MATCH(Table1[[#This Row],[Dept_Id]], Table3[[#All],[Dept_Id]], 0), 1)</f>
        <v>Development</v>
      </c>
      <c r="R342" s="22" t="str">
        <f>IF(Table1[[#This Row],[Left?]] = 1, (Table1[[#This Row],[New_Last_Date]]-Table1[[#This Row],[New_DoJ]])/365.25, "")</f>
        <v/>
      </c>
      <c r="S342" s="2" cm="1">
        <f t="array" ref="S34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42" s="2" t="str">
        <f>IF(Table1[[#This Row],[New_DoJ]] &gt;= EDATE( MAX(Table1[New_DoJ]), -24), "Yes", "No")</f>
        <v>No</v>
      </c>
    </row>
    <row r="343" spans="1:20" x14ac:dyDescent="0.3">
      <c r="A343" s="4">
        <v>10205</v>
      </c>
      <c r="B343" s="5" t="s">
        <v>686</v>
      </c>
      <c r="C343" s="5" t="s">
        <v>907</v>
      </c>
      <c r="D343" s="5" t="s">
        <v>908</v>
      </c>
      <c r="E343" s="5" t="s">
        <v>33</v>
      </c>
      <c r="F343" s="15">
        <v>34204</v>
      </c>
      <c r="G343" s="5">
        <v>4</v>
      </c>
      <c r="H343" s="5" t="s">
        <v>17</v>
      </c>
      <c r="I343" s="5">
        <v>0</v>
      </c>
      <c r="J343" s="5" t="s">
        <v>24</v>
      </c>
      <c r="K343" s="12">
        <v>40000</v>
      </c>
      <c r="L343" s="5" t="s">
        <v>25</v>
      </c>
      <c r="M343" s="6" t="s">
        <v>20</v>
      </c>
      <c r="N343" s="15">
        <v>19499</v>
      </c>
      <c r="O343" s="15">
        <v>34204</v>
      </c>
      <c r="P343" s="5"/>
      <c r="Q343" s="2" t="str">
        <f>INDEX(Table3[#All], MATCH(Table1[[#This Row],[Dept_Id]], Table3[[#All],[Dept_Id]], 0), 1)</f>
        <v>Production</v>
      </c>
      <c r="R343" s="22" t="str">
        <f>IF(Table1[[#This Row],[Left?]] = 1, (Table1[[#This Row],[New_Last_Date]]-Table1[[#This Row],[New_DoJ]])/365.25, "")</f>
        <v/>
      </c>
      <c r="S343" s="2" cm="1">
        <f t="array" ref="S34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43" s="2" t="str">
        <f>IF(Table1[[#This Row],[New_DoJ]] &gt;= EDATE( MAX(Table1[New_DoJ]), -24), "Yes", "No")</f>
        <v>No</v>
      </c>
    </row>
    <row r="344" spans="1:20" x14ac:dyDescent="0.3">
      <c r="A344" s="4">
        <v>230858</v>
      </c>
      <c r="B344" s="5" t="s">
        <v>909</v>
      </c>
      <c r="C344" s="5" t="s">
        <v>910</v>
      </c>
      <c r="D344" s="5" t="s">
        <v>911</v>
      </c>
      <c r="E344" s="5" t="s">
        <v>33</v>
      </c>
      <c r="F344" s="15">
        <v>33114</v>
      </c>
      <c r="G344" s="5">
        <v>4</v>
      </c>
      <c r="H344" s="5" t="s">
        <v>29</v>
      </c>
      <c r="I344" s="5">
        <v>0</v>
      </c>
      <c r="J344" s="5" t="s">
        <v>24</v>
      </c>
      <c r="K344" s="12">
        <v>57381</v>
      </c>
      <c r="L344" s="5" t="s">
        <v>105</v>
      </c>
      <c r="M344" s="6" t="s">
        <v>39</v>
      </c>
      <c r="N344" s="15">
        <v>22049</v>
      </c>
      <c r="O344" s="15">
        <v>33114</v>
      </c>
      <c r="P344" s="5"/>
      <c r="Q344" s="2" t="str">
        <f>INDEX(Table3[#All], MATCH(Table1[[#This Row],[Dept_Id]], Table3[[#All],[Dept_Id]], 0), 1)</f>
        <v>Marketing</v>
      </c>
      <c r="R344" s="22" t="str">
        <f>IF(Table1[[#This Row],[Left?]] = 1, (Table1[[#This Row],[New_Last_Date]]-Table1[[#This Row],[New_DoJ]])/365.25, "")</f>
        <v/>
      </c>
      <c r="S344" s="2" cm="1">
        <f t="array" ref="S34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44" s="2" t="str">
        <f>IF(Table1[[#This Row],[New_DoJ]] &gt;= EDATE( MAX(Table1[New_DoJ]), -24), "Yes", "No")</f>
        <v>No</v>
      </c>
    </row>
    <row r="345" spans="1:20" x14ac:dyDescent="0.3">
      <c r="A345" s="4">
        <v>10206</v>
      </c>
      <c r="B345" s="5" t="s">
        <v>225</v>
      </c>
      <c r="C345" s="5" t="s">
        <v>912</v>
      </c>
      <c r="D345" s="5" t="s">
        <v>913</v>
      </c>
      <c r="E345" s="5" t="s">
        <v>33</v>
      </c>
      <c r="F345" s="15">
        <v>32252</v>
      </c>
      <c r="G345" s="5">
        <v>8</v>
      </c>
      <c r="H345" s="5" t="s">
        <v>29</v>
      </c>
      <c r="I345" s="5">
        <v>0</v>
      </c>
      <c r="J345" s="5" t="s">
        <v>24</v>
      </c>
      <c r="K345" s="12">
        <v>40000</v>
      </c>
      <c r="L345" s="5" t="s">
        <v>19</v>
      </c>
      <c r="M345" s="6" t="s">
        <v>129</v>
      </c>
      <c r="N345" s="15">
        <v>22178</v>
      </c>
      <c r="O345" s="15">
        <v>32252</v>
      </c>
      <c r="P345" s="5"/>
      <c r="Q345" s="2" t="str">
        <f>INDEX(Table3[#All], MATCH(Table1[[#This Row],[Dept_Id]], Table3[[#All],[Dept_Id]], 0), 1)</f>
        <v>Development</v>
      </c>
      <c r="R345" s="22" t="str">
        <f>IF(Table1[[#This Row],[Left?]] = 1, (Table1[[#This Row],[New_Last_Date]]-Table1[[#This Row],[New_DoJ]])/365.25, "")</f>
        <v/>
      </c>
      <c r="S345" s="2" cm="1">
        <f t="array" ref="S34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45" s="2" t="str">
        <f>IF(Table1[[#This Row],[New_DoJ]] &gt;= EDATE( MAX(Table1[New_DoJ]), -24), "Yes", "No")</f>
        <v>No</v>
      </c>
    </row>
    <row r="346" spans="1:20" x14ac:dyDescent="0.3">
      <c r="A346" s="4">
        <v>10207</v>
      </c>
      <c r="B346" s="5" t="s">
        <v>914</v>
      </c>
      <c r="C346" s="5" t="s">
        <v>915</v>
      </c>
      <c r="D346" s="5" t="s">
        <v>916</v>
      </c>
      <c r="E346" s="5" t="s">
        <v>33</v>
      </c>
      <c r="F346" s="15">
        <v>33888</v>
      </c>
      <c r="G346" s="5">
        <v>8</v>
      </c>
      <c r="H346" s="5" t="s">
        <v>29</v>
      </c>
      <c r="I346" s="5">
        <v>0</v>
      </c>
      <c r="J346" s="5" t="s">
        <v>24</v>
      </c>
      <c r="K346" s="12">
        <v>52783</v>
      </c>
      <c r="L346" s="5" t="s">
        <v>19</v>
      </c>
      <c r="M346" s="6" t="s">
        <v>20</v>
      </c>
      <c r="N346" s="15">
        <v>20237</v>
      </c>
      <c r="O346" s="15">
        <v>33888</v>
      </c>
      <c r="P346" s="5"/>
      <c r="Q346" s="2" t="str">
        <f>INDEX(Table3[#All], MATCH(Table1[[#This Row],[Dept_Id]], Table3[[#All],[Dept_Id]], 0), 1)</f>
        <v>Development</v>
      </c>
      <c r="R346" s="22" t="str">
        <f>IF(Table1[[#This Row],[Left?]] = 1, (Table1[[#This Row],[New_Last_Date]]-Table1[[#This Row],[New_DoJ]])/365.25, "")</f>
        <v/>
      </c>
      <c r="S346" s="2" cm="1">
        <f t="array" ref="S34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46" s="2" t="str">
        <f>IF(Table1[[#This Row],[New_DoJ]] &gt;= EDATE( MAX(Table1[New_DoJ]), -24), "Yes", "No")</f>
        <v>No</v>
      </c>
    </row>
    <row r="347" spans="1:20" x14ac:dyDescent="0.3">
      <c r="A347" s="4">
        <v>279661</v>
      </c>
      <c r="B347" s="5" t="s">
        <v>917</v>
      </c>
      <c r="C347" s="5" t="s">
        <v>687</v>
      </c>
      <c r="D347" s="5" t="s">
        <v>918</v>
      </c>
      <c r="E347" s="5" t="s">
        <v>16</v>
      </c>
      <c r="F347" s="15">
        <v>31531</v>
      </c>
      <c r="G347" s="5">
        <v>6</v>
      </c>
      <c r="H347" s="5" t="s">
        <v>115</v>
      </c>
      <c r="I347" s="5">
        <v>0</v>
      </c>
      <c r="J347" s="5" t="s">
        <v>24</v>
      </c>
      <c r="K347" s="12">
        <v>58554</v>
      </c>
      <c r="L347" s="5" t="s">
        <v>38</v>
      </c>
      <c r="M347" s="6" t="s">
        <v>87</v>
      </c>
      <c r="N347" s="15">
        <v>19792</v>
      </c>
      <c r="O347" s="15">
        <v>31531</v>
      </c>
      <c r="P347" s="5"/>
      <c r="Q347" s="2" t="str">
        <f>INDEX(Table3[#All], MATCH(Table1[[#This Row],[Dept_Id]], Table3[[#All],[Dept_Id]], 0), 1)</f>
        <v>Sales</v>
      </c>
      <c r="R347" s="22" t="str">
        <f>IF(Table1[[#This Row],[Left?]] = 1, (Table1[[#This Row],[New_Last_Date]]-Table1[[#This Row],[New_DoJ]])/365.25, "")</f>
        <v/>
      </c>
      <c r="S347" s="2" cm="1">
        <f t="array" ref="S34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347" s="2" t="str">
        <f>IF(Table1[[#This Row],[New_DoJ]] &gt;= EDATE( MAX(Table1[New_DoJ]), -24), "Yes", "No")</f>
        <v>No</v>
      </c>
    </row>
    <row r="348" spans="1:20" x14ac:dyDescent="0.3">
      <c r="A348" s="4">
        <v>10208</v>
      </c>
      <c r="B348" s="5" t="s">
        <v>919</v>
      </c>
      <c r="C348" s="5" t="s">
        <v>920</v>
      </c>
      <c r="D348" s="5" t="s">
        <v>921</v>
      </c>
      <c r="E348" s="5" t="s">
        <v>16</v>
      </c>
      <c r="F348" s="15">
        <v>33595</v>
      </c>
      <c r="G348" s="5">
        <v>7</v>
      </c>
      <c r="H348" s="5" t="s">
        <v>115</v>
      </c>
      <c r="I348" s="5">
        <v>0</v>
      </c>
      <c r="J348" s="5" t="s">
        <v>24</v>
      </c>
      <c r="K348" s="12">
        <v>61890</v>
      </c>
      <c r="L348" s="5" t="s">
        <v>105</v>
      </c>
      <c r="M348" s="6" t="s">
        <v>39</v>
      </c>
      <c r="N348" s="15">
        <v>21917</v>
      </c>
      <c r="O348" s="15">
        <v>33595</v>
      </c>
      <c r="P348" s="5"/>
      <c r="Q348" s="2" t="str">
        <f>INDEX(Table3[#All], MATCH(Table1[[#This Row],[Dept_Id]], Table3[[#All],[Dept_Id]], 0), 1)</f>
        <v>Marketing</v>
      </c>
      <c r="R348" s="22" t="str">
        <f>IF(Table1[[#This Row],[Left?]] = 1, (Table1[[#This Row],[New_Last_Date]]-Table1[[#This Row],[New_DoJ]])/365.25, "")</f>
        <v/>
      </c>
      <c r="S348" s="2" cm="1">
        <f t="array" ref="S34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348" s="2" t="str">
        <f>IF(Table1[[#This Row],[New_DoJ]] &gt;= EDATE( MAX(Table1[New_DoJ]), -24), "Yes", "No")</f>
        <v>No</v>
      </c>
    </row>
    <row r="349" spans="1:20" x14ac:dyDescent="0.3">
      <c r="A349" s="4">
        <v>10209</v>
      </c>
      <c r="B349" s="5" t="s">
        <v>922</v>
      </c>
      <c r="C349" s="5" t="s">
        <v>923</v>
      </c>
      <c r="D349" s="5" t="s">
        <v>924</v>
      </c>
      <c r="E349" s="5" t="s">
        <v>33</v>
      </c>
      <c r="F349" s="15">
        <v>33565</v>
      </c>
      <c r="G349" s="5">
        <v>10</v>
      </c>
      <c r="H349" s="5" t="s">
        <v>17</v>
      </c>
      <c r="I349" s="5">
        <v>0</v>
      </c>
      <c r="J349" s="5" t="s">
        <v>24</v>
      </c>
      <c r="K349" s="12">
        <v>57996</v>
      </c>
      <c r="L349" s="5" t="s">
        <v>92</v>
      </c>
      <c r="M349" s="6" t="s">
        <v>39</v>
      </c>
      <c r="N349" s="15">
        <v>20801</v>
      </c>
      <c r="O349" s="15">
        <v>33565</v>
      </c>
      <c r="P349" s="5"/>
      <c r="Q349" s="2" t="str">
        <f>INDEX(Table3[#All], MATCH(Table1[[#This Row],[Dept_Id]], Table3[[#All],[Dept_Id]], 0), 1)</f>
        <v>Finance</v>
      </c>
      <c r="R349" s="22" t="str">
        <f>IF(Table1[[#This Row],[Left?]] = 1, (Table1[[#This Row],[New_Last_Date]]-Table1[[#This Row],[New_DoJ]])/365.25, "")</f>
        <v/>
      </c>
      <c r="S349" s="2" cm="1">
        <f t="array" ref="S34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49" s="2" t="str">
        <f>IF(Table1[[#This Row],[New_DoJ]] &gt;= EDATE( MAX(Table1[New_DoJ]), -24), "Yes", "No")</f>
        <v>No</v>
      </c>
    </row>
    <row r="350" spans="1:20" x14ac:dyDescent="0.3">
      <c r="A350" s="4">
        <v>10209</v>
      </c>
      <c r="B350" s="5" t="s">
        <v>922</v>
      </c>
      <c r="C350" s="5" t="s">
        <v>923</v>
      </c>
      <c r="D350" s="5" t="s">
        <v>924</v>
      </c>
      <c r="E350" s="5" t="s">
        <v>33</v>
      </c>
      <c r="F350" s="15">
        <v>33565</v>
      </c>
      <c r="G350" s="5">
        <v>10</v>
      </c>
      <c r="H350" s="5" t="s">
        <v>17</v>
      </c>
      <c r="I350" s="5">
        <v>0</v>
      </c>
      <c r="J350" s="5" t="s">
        <v>24</v>
      </c>
      <c r="K350" s="12">
        <v>57996</v>
      </c>
      <c r="L350" s="5" t="s">
        <v>38</v>
      </c>
      <c r="M350" s="6" t="s">
        <v>39</v>
      </c>
      <c r="N350" s="15">
        <v>20801</v>
      </c>
      <c r="O350" s="15">
        <v>33565</v>
      </c>
      <c r="P350" s="5"/>
      <c r="Q350" s="2" t="str">
        <f>INDEX(Table3[#All], MATCH(Table1[[#This Row],[Dept_Id]], Table3[[#All],[Dept_Id]], 0), 1)</f>
        <v>Sales</v>
      </c>
      <c r="R350" s="22" t="str">
        <f>IF(Table1[[#This Row],[Left?]] = 1, (Table1[[#This Row],[New_Last_Date]]-Table1[[#This Row],[New_DoJ]])/365.25, "")</f>
        <v/>
      </c>
      <c r="S350" s="2" cm="1">
        <f t="array" ref="S35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50" s="2" t="str">
        <f>IF(Table1[[#This Row],[New_DoJ]] &gt;= EDATE( MAX(Table1[New_DoJ]), -24), "Yes", "No")</f>
        <v>No</v>
      </c>
    </row>
    <row r="351" spans="1:20" x14ac:dyDescent="0.3">
      <c r="A351" s="4">
        <v>287414</v>
      </c>
      <c r="B351" s="5" t="s">
        <v>274</v>
      </c>
      <c r="C351" s="5" t="s">
        <v>925</v>
      </c>
      <c r="D351" s="5" t="s">
        <v>926</v>
      </c>
      <c r="E351" s="5" t="s">
        <v>16</v>
      </c>
      <c r="F351" s="15">
        <v>32325</v>
      </c>
      <c r="G351" s="5">
        <v>4</v>
      </c>
      <c r="H351" s="5" t="s">
        <v>34</v>
      </c>
      <c r="I351" s="5">
        <v>0</v>
      </c>
      <c r="J351" s="5" t="s">
        <v>24</v>
      </c>
      <c r="K351" s="12">
        <v>51536</v>
      </c>
      <c r="L351" s="5" t="s">
        <v>25</v>
      </c>
      <c r="M351" s="6" t="s">
        <v>20</v>
      </c>
      <c r="N351" s="15">
        <v>20975</v>
      </c>
      <c r="O351" s="15">
        <v>32325</v>
      </c>
      <c r="P351" s="5"/>
      <c r="Q351" s="2" t="str">
        <f>INDEX(Table3[#All], MATCH(Table1[[#This Row],[Dept_Id]], Table3[[#All],[Dept_Id]], 0), 1)</f>
        <v>Production</v>
      </c>
      <c r="R351" s="22" t="str">
        <f>IF(Table1[[#This Row],[Left?]] = 1, (Table1[[#This Row],[New_Last_Date]]-Table1[[#This Row],[New_DoJ]])/365.25, "")</f>
        <v/>
      </c>
      <c r="S351" s="2" cm="1">
        <f t="array" ref="S35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51" s="2" t="str">
        <f>IF(Table1[[#This Row],[New_DoJ]] &gt;= EDATE( MAX(Table1[New_DoJ]), -24), "Yes", "No")</f>
        <v>No</v>
      </c>
    </row>
    <row r="352" spans="1:20" x14ac:dyDescent="0.3">
      <c r="A352" s="4">
        <v>10210</v>
      </c>
      <c r="B352" s="5" t="s">
        <v>927</v>
      </c>
      <c r="C352" s="5" t="s">
        <v>928</v>
      </c>
      <c r="D352" s="5" t="s">
        <v>929</v>
      </c>
      <c r="E352" s="5" t="s">
        <v>16</v>
      </c>
      <c r="F352" s="15">
        <v>34464</v>
      </c>
      <c r="G352" s="5">
        <v>3</v>
      </c>
      <c r="H352" s="5" t="s">
        <v>34</v>
      </c>
      <c r="I352" s="5">
        <v>1</v>
      </c>
      <c r="J352" s="5" t="s">
        <v>930</v>
      </c>
      <c r="K352" s="12">
        <v>40000</v>
      </c>
      <c r="L352" s="5" t="s">
        <v>77</v>
      </c>
      <c r="M352" s="6" t="s">
        <v>39</v>
      </c>
      <c r="N352" s="15">
        <v>21209</v>
      </c>
      <c r="O352" s="15">
        <v>34464</v>
      </c>
      <c r="P352" s="15">
        <v>37152</v>
      </c>
      <c r="Q352" s="2" t="str">
        <f>INDEX(Table3[#All], MATCH(Table1[[#This Row],[Dept_Id]], Table3[[#All],[Dept_Id]], 0), 1)</f>
        <v>Customer Service</v>
      </c>
      <c r="R352" s="22">
        <f>IF(Table1[[#This Row],[Left?]] = 1, (Table1[[#This Row],[New_Last_Date]]-Table1[[#This Row],[New_DoJ]])/365.25, "")</f>
        <v>7.3593429158110881</v>
      </c>
      <c r="S352" s="2" cm="1">
        <f t="array" ref="S35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52" s="2" t="str">
        <f>IF(Table1[[#This Row],[New_DoJ]] &gt;= EDATE( MAX(Table1[New_DoJ]), -24), "Yes", "No")</f>
        <v>No</v>
      </c>
    </row>
    <row r="353" spans="1:20" x14ac:dyDescent="0.3">
      <c r="A353" s="4">
        <v>210499</v>
      </c>
      <c r="B353" s="5" t="s">
        <v>931</v>
      </c>
      <c r="C353" s="5" t="s">
        <v>932</v>
      </c>
      <c r="D353" s="5" t="s">
        <v>933</v>
      </c>
      <c r="E353" s="5" t="s">
        <v>16</v>
      </c>
      <c r="F353" s="15">
        <v>32456</v>
      </c>
      <c r="G353" s="5">
        <v>5</v>
      </c>
      <c r="H353" s="5" t="s">
        <v>17</v>
      </c>
      <c r="I353" s="5">
        <v>0</v>
      </c>
      <c r="J353" s="5" t="s">
        <v>24</v>
      </c>
      <c r="K353" s="12">
        <v>71701</v>
      </c>
      <c r="L353" s="5" t="s">
        <v>105</v>
      </c>
      <c r="M353" s="6" t="s">
        <v>39</v>
      </c>
      <c r="N353" s="15">
        <v>19931</v>
      </c>
      <c r="O353" s="15">
        <v>32456</v>
      </c>
      <c r="P353" s="5"/>
      <c r="Q353" s="2" t="str">
        <f>INDEX(Table3[#All], MATCH(Table1[[#This Row],[Dept_Id]], Table3[[#All],[Dept_Id]], 0), 1)</f>
        <v>Marketing</v>
      </c>
      <c r="R353" s="22" t="str">
        <f>IF(Table1[[#This Row],[Left?]] = 1, (Table1[[#This Row],[New_Last_Date]]-Table1[[#This Row],[New_DoJ]])/365.25, "")</f>
        <v/>
      </c>
      <c r="S353" s="2" cm="1">
        <f t="array" ref="S35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53" s="2" t="str">
        <f>IF(Table1[[#This Row],[New_DoJ]] &gt;= EDATE( MAX(Table1[New_DoJ]), -24), "Yes", "No")</f>
        <v>No</v>
      </c>
    </row>
    <row r="354" spans="1:20" x14ac:dyDescent="0.3">
      <c r="A354" s="4">
        <v>10211</v>
      </c>
      <c r="B354" s="5" t="s">
        <v>934</v>
      </c>
      <c r="C354" s="5" t="s">
        <v>935</v>
      </c>
      <c r="D354" s="5" t="s">
        <v>936</v>
      </c>
      <c r="E354" s="5" t="s">
        <v>33</v>
      </c>
      <c r="F354" s="15">
        <v>32830</v>
      </c>
      <c r="G354" s="5">
        <v>7</v>
      </c>
      <c r="H354" s="5" t="s">
        <v>34</v>
      </c>
      <c r="I354" s="5">
        <v>0</v>
      </c>
      <c r="J354" s="5" t="s">
        <v>24</v>
      </c>
      <c r="K354" s="12">
        <v>49032</v>
      </c>
      <c r="L354" s="5" t="s">
        <v>19</v>
      </c>
      <c r="M354" s="6" t="s">
        <v>20</v>
      </c>
      <c r="N354" s="15">
        <v>23594</v>
      </c>
      <c r="O354" s="15">
        <v>32830</v>
      </c>
      <c r="P354" s="5"/>
      <c r="Q354" s="2" t="str">
        <f>INDEX(Table3[#All], MATCH(Table1[[#This Row],[Dept_Id]], Table3[[#All],[Dept_Id]], 0), 1)</f>
        <v>Development</v>
      </c>
      <c r="R354" s="22" t="str">
        <f>IF(Table1[[#This Row],[Left?]] = 1, (Table1[[#This Row],[New_Last_Date]]-Table1[[#This Row],[New_DoJ]])/365.25, "")</f>
        <v/>
      </c>
      <c r="S354" s="2" cm="1">
        <f t="array" ref="S35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54" s="2" t="str">
        <f>IF(Table1[[#This Row],[New_DoJ]] &gt;= EDATE( MAX(Table1[New_DoJ]), -24), "Yes", "No")</f>
        <v>No</v>
      </c>
    </row>
    <row r="355" spans="1:20" x14ac:dyDescent="0.3">
      <c r="A355" s="4">
        <v>10212</v>
      </c>
      <c r="B355" s="5" t="s">
        <v>937</v>
      </c>
      <c r="C355" s="5" t="s">
        <v>155</v>
      </c>
      <c r="D355" s="5" t="s">
        <v>938</v>
      </c>
      <c r="E355" s="5" t="s">
        <v>16</v>
      </c>
      <c r="F355" s="15">
        <v>33065</v>
      </c>
      <c r="G355" s="5">
        <v>8</v>
      </c>
      <c r="H355" s="5" t="s">
        <v>34</v>
      </c>
      <c r="I355" s="5">
        <v>1</v>
      </c>
      <c r="J355" s="5" t="s">
        <v>939</v>
      </c>
      <c r="K355" s="12">
        <v>65938</v>
      </c>
      <c r="L355" s="5" t="s">
        <v>19</v>
      </c>
      <c r="M355" s="6" t="s">
        <v>20</v>
      </c>
      <c r="N355" s="15">
        <v>21679</v>
      </c>
      <c r="O355" s="15">
        <v>33065</v>
      </c>
      <c r="P355" s="15">
        <v>34964</v>
      </c>
      <c r="Q355" s="2" t="str">
        <f>INDEX(Table3[#All], MATCH(Table1[[#This Row],[Dept_Id]], Table3[[#All],[Dept_Id]], 0), 1)</f>
        <v>Development</v>
      </c>
      <c r="R355" s="22">
        <f>IF(Table1[[#This Row],[Left?]] = 1, (Table1[[#This Row],[New_Last_Date]]-Table1[[#This Row],[New_DoJ]])/365.25, "")</f>
        <v>5.1991786447638599</v>
      </c>
      <c r="S355" s="2" cm="1">
        <f t="array" ref="S35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55" s="2" t="str">
        <f>IF(Table1[[#This Row],[New_DoJ]] &gt;= EDATE( MAX(Table1[New_DoJ]), -24), "Yes", "No")</f>
        <v>No</v>
      </c>
    </row>
    <row r="356" spans="1:20" x14ac:dyDescent="0.3">
      <c r="A356" s="4">
        <v>268566</v>
      </c>
      <c r="B356" s="5" t="s">
        <v>940</v>
      </c>
      <c r="C356" s="5" t="s">
        <v>871</v>
      </c>
      <c r="D356" s="5" t="s">
        <v>941</v>
      </c>
      <c r="E356" s="5" t="s">
        <v>16</v>
      </c>
      <c r="F356" s="15">
        <v>35524</v>
      </c>
      <c r="G356" s="5">
        <v>8</v>
      </c>
      <c r="H356" s="5" t="s">
        <v>29</v>
      </c>
      <c r="I356" s="5">
        <v>0</v>
      </c>
      <c r="J356" s="5" t="s">
        <v>24</v>
      </c>
      <c r="K356" s="12">
        <v>73481</v>
      </c>
      <c r="L356" s="5" t="s">
        <v>38</v>
      </c>
      <c r="M356" s="6" t="s">
        <v>39</v>
      </c>
      <c r="N356" s="15">
        <v>22672</v>
      </c>
      <c r="O356" s="15">
        <v>35524</v>
      </c>
      <c r="P356" s="5"/>
      <c r="Q356" s="2" t="str">
        <f>INDEX(Table3[#All], MATCH(Table1[[#This Row],[Dept_Id]], Table3[[#All],[Dept_Id]], 0), 1)</f>
        <v>Sales</v>
      </c>
      <c r="R356" s="22" t="str">
        <f>IF(Table1[[#This Row],[Left?]] = 1, (Table1[[#This Row],[New_Last_Date]]-Table1[[#This Row],[New_DoJ]])/365.25, "")</f>
        <v/>
      </c>
      <c r="S356" s="2" cm="1">
        <f t="array" ref="S35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56" s="2" t="str">
        <f>IF(Table1[[#This Row],[New_DoJ]] &gt;= EDATE( MAX(Table1[New_DoJ]), -24), "Yes", "No")</f>
        <v>No</v>
      </c>
    </row>
    <row r="357" spans="1:20" x14ac:dyDescent="0.3">
      <c r="A357" s="4">
        <v>10213</v>
      </c>
      <c r="B357" s="5" t="s">
        <v>942</v>
      </c>
      <c r="C357" s="5" t="s">
        <v>943</v>
      </c>
      <c r="D357" s="5" t="s">
        <v>944</v>
      </c>
      <c r="E357" s="5" t="s">
        <v>16</v>
      </c>
      <c r="F357" s="15">
        <v>33914</v>
      </c>
      <c r="G357" s="5">
        <v>8</v>
      </c>
      <c r="H357" s="5" t="s">
        <v>17</v>
      </c>
      <c r="I357" s="5">
        <v>0</v>
      </c>
      <c r="J357" s="5" t="s">
        <v>24</v>
      </c>
      <c r="K357" s="12">
        <v>40000</v>
      </c>
      <c r="L357" s="5" t="s">
        <v>77</v>
      </c>
      <c r="M357" s="6" t="s">
        <v>39</v>
      </c>
      <c r="N357" s="15">
        <v>23521</v>
      </c>
      <c r="O357" s="15">
        <v>33914</v>
      </c>
      <c r="P357" s="5"/>
      <c r="Q357" s="2" t="str">
        <f>INDEX(Table3[#All], MATCH(Table1[[#This Row],[Dept_Id]], Table3[[#All],[Dept_Id]], 0), 1)</f>
        <v>Customer Service</v>
      </c>
      <c r="R357" s="22" t="str">
        <f>IF(Table1[[#This Row],[Left?]] = 1, (Table1[[#This Row],[New_Last_Date]]-Table1[[#This Row],[New_DoJ]])/365.25, "")</f>
        <v/>
      </c>
      <c r="S357" s="2" cm="1">
        <f t="array" ref="S35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57" s="2" t="str">
        <f>IF(Table1[[#This Row],[New_DoJ]] &gt;= EDATE( MAX(Table1[New_DoJ]), -24), "Yes", "No")</f>
        <v>No</v>
      </c>
    </row>
    <row r="358" spans="1:20" x14ac:dyDescent="0.3">
      <c r="A358" s="4">
        <v>10214</v>
      </c>
      <c r="B358" s="5" t="s">
        <v>945</v>
      </c>
      <c r="C358" s="5" t="s">
        <v>946</v>
      </c>
      <c r="D358" s="5" t="s">
        <v>947</v>
      </c>
      <c r="E358" s="5" t="s">
        <v>16</v>
      </c>
      <c r="F358" s="15">
        <v>32202</v>
      </c>
      <c r="G358" s="5">
        <v>10</v>
      </c>
      <c r="H358" s="5" t="s">
        <v>29</v>
      </c>
      <c r="I358" s="5">
        <v>0</v>
      </c>
      <c r="J358" s="5" t="s">
        <v>24</v>
      </c>
      <c r="K358" s="12">
        <v>58341</v>
      </c>
      <c r="L358" s="5" t="s">
        <v>38</v>
      </c>
      <c r="M358" s="6" t="s">
        <v>87</v>
      </c>
      <c r="N358" s="15">
        <v>22750</v>
      </c>
      <c r="O358" s="15">
        <v>32202</v>
      </c>
      <c r="P358" s="5"/>
      <c r="Q358" s="2" t="str">
        <f>INDEX(Table3[#All], MATCH(Table1[[#This Row],[Dept_Id]], Table3[[#All],[Dept_Id]], 0), 1)</f>
        <v>Sales</v>
      </c>
      <c r="R358" s="22" t="str">
        <f>IF(Table1[[#This Row],[Left?]] = 1, (Table1[[#This Row],[New_Last_Date]]-Table1[[#This Row],[New_DoJ]])/365.25, "")</f>
        <v/>
      </c>
      <c r="S358" s="2" cm="1">
        <f t="array" ref="S35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58" s="2" t="str">
        <f>IF(Table1[[#This Row],[New_DoJ]] &gt;= EDATE( MAX(Table1[New_DoJ]), -24), "Yes", "No")</f>
        <v>No</v>
      </c>
    </row>
    <row r="359" spans="1:20" x14ac:dyDescent="0.3">
      <c r="A359" s="4">
        <v>53312</v>
      </c>
      <c r="B359" s="5" t="s">
        <v>948</v>
      </c>
      <c r="C359" s="5" t="s">
        <v>949</v>
      </c>
      <c r="D359" s="5" t="s">
        <v>950</v>
      </c>
      <c r="E359" s="5" t="s">
        <v>16</v>
      </c>
      <c r="F359" s="15">
        <v>32088</v>
      </c>
      <c r="G359" s="5">
        <v>5</v>
      </c>
      <c r="H359" s="5" t="s">
        <v>17</v>
      </c>
      <c r="I359" s="5">
        <v>0</v>
      </c>
      <c r="J359" s="5" t="s">
        <v>24</v>
      </c>
      <c r="K359" s="12">
        <v>70268</v>
      </c>
      <c r="L359" s="5" t="s">
        <v>38</v>
      </c>
      <c r="M359" s="6" t="s">
        <v>39</v>
      </c>
      <c r="N359" s="15">
        <v>21669</v>
      </c>
      <c r="O359" s="15">
        <v>32088</v>
      </c>
      <c r="P359" s="5"/>
      <c r="Q359" s="2" t="str">
        <f>INDEX(Table3[#All], MATCH(Table1[[#This Row],[Dept_Id]], Table3[[#All],[Dept_Id]], 0), 1)</f>
        <v>Sales</v>
      </c>
      <c r="R359" s="22" t="str">
        <f>IF(Table1[[#This Row],[Left?]] = 1, (Table1[[#This Row],[New_Last_Date]]-Table1[[#This Row],[New_DoJ]])/365.25, "")</f>
        <v/>
      </c>
      <c r="S359" s="2" cm="1">
        <f t="array" ref="S35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59" s="2" t="str">
        <f>IF(Table1[[#This Row],[New_DoJ]] &gt;= EDATE( MAX(Table1[New_DoJ]), -24), "Yes", "No")</f>
        <v>No</v>
      </c>
    </row>
    <row r="360" spans="1:20" x14ac:dyDescent="0.3">
      <c r="A360" s="4">
        <v>10215</v>
      </c>
      <c r="B360" s="5" t="s">
        <v>951</v>
      </c>
      <c r="C360" s="5" t="s">
        <v>952</v>
      </c>
      <c r="D360" s="5" t="s">
        <v>812</v>
      </c>
      <c r="E360" s="5" t="s">
        <v>16</v>
      </c>
      <c r="F360" s="15">
        <v>32069</v>
      </c>
      <c r="G360" s="5">
        <v>1</v>
      </c>
      <c r="H360" s="5" t="s">
        <v>29</v>
      </c>
      <c r="I360" s="5">
        <v>0</v>
      </c>
      <c r="J360" s="5" t="s">
        <v>24</v>
      </c>
      <c r="K360" s="12">
        <v>43944</v>
      </c>
      <c r="L360" s="5" t="s">
        <v>38</v>
      </c>
      <c r="M360" s="6" t="s">
        <v>87</v>
      </c>
      <c r="N360" s="15">
        <v>19816</v>
      </c>
      <c r="O360" s="15">
        <v>32069</v>
      </c>
      <c r="P360" s="5"/>
      <c r="Q360" s="2" t="str">
        <f>INDEX(Table3[#All], MATCH(Table1[[#This Row],[Dept_Id]], Table3[[#All],[Dept_Id]], 0), 1)</f>
        <v>Sales</v>
      </c>
      <c r="R360" s="22" t="str">
        <f>IF(Table1[[#This Row],[Left?]] = 1, (Table1[[#This Row],[New_Last_Date]]-Table1[[#This Row],[New_DoJ]])/365.25, "")</f>
        <v/>
      </c>
      <c r="S360" s="2" cm="1">
        <f t="array" ref="S36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60" s="2" t="str">
        <f>IF(Table1[[#This Row],[New_DoJ]] &gt;= EDATE( MAX(Table1[New_DoJ]), -24), "Yes", "No")</f>
        <v>No</v>
      </c>
    </row>
    <row r="361" spans="1:20" x14ac:dyDescent="0.3">
      <c r="A361" s="4">
        <v>10216</v>
      </c>
      <c r="B361" s="5" t="s">
        <v>953</v>
      </c>
      <c r="C361" s="5" t="s">
        <v>954</v>
      </c>
      <c r="D361" s="5" t="s">
        <v>955</v>
      </c>
      <c r="E361" s="5" t="s">
        <v>16</v>
      </c>
      <c r="F361" s="15">
        <v>32080</v>
      </c>
      <c r="G361" s="5">
        <v>5</v>
      </c>
      <c r="H361" s="5" t="s">
        <v>29</v>
      </c>
      <c r="I361" s="5">
        <v>1</v>
      </c>
      <c r="J361" s="5" t="s">
        <v>956</v>
      </c>
      <c r="K361" s="12">
        <v>40000</v>
      </c>
      <c r="L361" s="5" t="s">
        <v>55</v>
      </c>
      <c r="M361" s="6" t="s">
        <v>39</v>
      </c>
      <c r="N361" s="15">
        <v>21382</v>
      </c>
      <c r="O361" s="15">
        <v>32080</v>
      </c>
      <c r="P361" s="15">
        <v>34282</v>
      </c>
      <c r="Q361" s="2" t="str">
        <f>INDEX(Table3[#All], MATCH(Table1[[#This Row],[Dept_Id]], Table3[[#All],[Dept_Id]], 0), 1)</f>
        <v>Research</v>
      </c>
      <c r="R361" s="22">
        <f>IF(Table1[[#This Row],[Left?]] = 1, (Table1[[#This Row],[New_Last_Date]]-Table1[[#This Row],[New_DoJ]])/365.25, "")</f>
        <v>6.0287474332648872</v>
      </c>
      <c r="S361" s="2" cm="1">
        <f t="array" ref="S36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61" s="2" t="str">
        <f>IF(Table1[[#This Row],[New_DoJ]] &gt;= EDATE( MAX(Table1[New_DoJ]), -24), "Yes", "No")</f>
        <v>No</v>
      </c>
    </row>
    <row r="362" spans="1:20" x14ac:dyDescent="0.3">
      <c r="A362" s="4">
        <v>214747</v>
      </c>
      <c r="B362" s="5" t="s">
        <v>957</v>
      </c>
      <c r="C362" s="5" t="s">
        <v>958</v>
      </c>
      <c r="D362" s="5" t="s">
        <v>959</v>
      </c>
      <c r="E362" s="5" t="s">
        <v>33</v>
      </c>
      <c r="F362" s="15">
        <v>33237</v>
      </c>
      <c r="G362" s="5">
        <v>3</v>
      </c>
      <c r="H362" s="5" t="s">
        <v>29</v>
      </c>
      <c r="I362" s="5">
        <v>1</v>
      </c>
      <c r="J362" s="5" t="s">
        <v>960</v>
      </c>
      <c r="K362" s="12">
        <v>40000</v>
      </c>
      <c r="L362" s="5" t="s">
        <v>77</v>
      </c>
      <c r="M362" s="6" t="s">
        <v>39</v>
      </c>
      <c r="N362" s="15">
        <v>19878</v>
      </c>
      <c r="O362" s="15">
        <v>33237</v>
      </c>
      <c r="P362" s="15">
        <v>35540</v>
      </c>
      <c r="Q362" s="2" t="str">
        <f>INDEX(Table3[#All], MATCH(Table1[[#This Row],[Dept_Id]], Table3[[#All],[Dept_Id]], 0), 1)</f>
        <v>Customer Service</v>
      </c>
      <c r="R362" s="22">
        <f>IF(Table1[[#This Row],[Left?]] = 1, (Table1[[#This Row],[New_Last_Date]]-Table1[[#This Row],[New_DoJ]])/365.25, "")</f>
        <v>6.3052703627652296</v>
      </c>
      <c r="S362" s="2" cm="1">
        <f t="array" ref="S36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62" s="2" t="str">
        <f>IF(Table1[[#This Row],[New_DoJ]] &gt;= EDATE( MAX(Table1[New_DoJ]), -24), "Yes", "No")</f>
        <v>No</v>
      </c>
    </row>
    <row r="363" spans="1:20" x14ac:dyDescent="0.3">
      <c r="A363" s="4">
        <v>10217</v>
      </c>
      <c r="B363" s="5" t="s">
        <v>961</v>
      </c>
      <c r="C363" s="5" t="s">
        <v>962</v>
      </c>
      <c r="D363" s="5" t="s">
        <v>963</v>
      </c>
      <c r="E363" s="5" t="s">
        <v>33</v>
      </c>
      <c r="F363" s="15">
        <v>31544</v>
      </c>
      <c r="G363" s="5">
        <v>2</v>
      </c>
      <c r="H363" s="5" t="s">
        <v>34</v>
      </c>
      <c r="I363" s="5">
        <v>0</v>
      </c>
      <c r="J363" s="5" t="s">
        <v>24</v>
      </c>
      <c r="K363" s="12">
        <v>40000</v>
      </c>
      <c r="L363" s="5" t="s">
        <v>25</v>
      </c>
      <c r="M363" s="6" t="s">
        <v>129</v>
      </c>
      <c r="N363" s="15">
        <v>19912</v>
      </c>
      <c r="O363" s="15">
        <v>31544</v>
      </c>
      <c r="P363" s="5"/>
      <c r="Q363" s="2" t="str">
        <f>INDEX(Table3[#All], MATCH(Table1[[#This Row],[Dept_Id]], Table3[[#All],[Dept_Id]], 0), 1)</f>
        <v>Production</v>
      </c>
      <c r="R363" s="22" t="str">
        <f>IF(Table1[[#This Row],[Left?]] = 1, (Table1[[#This Row],[New_Last_Date]]-Table1[[#This Row],[New_DoJ]])/365.25, "")</f>
        <v/>
      </c>
      <c r="S363" s="2" cm="1">
        <f t="array" ref="S36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63" s="2" t="str">
        <f>IF(Table1[[#This Row],[New_DoJ]] &gt;= EDATE( MAX(Table1[New_DoJ]), -24), "Yes", "No")</f>
        <v>No</v>
      </c>
    </row>
    <row r="364" spans="1:20" x14ac:dyDescent="0.3">
      <c r="A364" s="4">
        <v>10218</v>
      </c>
      <c r="B364" s="5" t="s">
        <v>964</v>
      </c>
      <c r="C364" s="5" t="s">
        <v>585</v>
      </c>
      <c r="D364" s="5" t="s">
        <v>965</v>
      </c>
      <c r="E364" s="5" t="s">
        <v>16</v>
      </c>
      <c r="F364" s="15">
        <v>35445</v>
      </c>
      <c r="G364" s="5">
        <v>5</v>
      </c>
      <c r="H364" s="5" t="s">
        <v>34</v>
      </c>
      <c r="I364" s="5">
        <v>1</v>
      </c>
      <c r="J364" s="5" t="s">
        <v>966</v>
      </c>
      <c r="K364" s="12">
        <v>40788</v>
      </c>
      <c r="L364" s="5" t="s">
        <v>25</v>
      </c>
      <c r="M364" s="6" t="s">
        <v>20</v>
      </c>
      <c r="N364" s="15">
        <v>21526</v>
      </c>
      <c r="O364" s="15">
        <v>35445</v>
      </c>
      <c r="P364" s="15">
        <v>37680</v>
      </c>
      <c r="Q364" s="2" t="str">
        <f>INDEX(Table3[#All], MATCH(Table1[[#This Row],[Dept_Id]], Table3[[#All],[Dept_Id]], 0), 1)</f>
        <v>Production</v>
      </c>
      <c r="R364" s="22">
        <f>IF(Table1[[#This Row],[Left?]] = 1, (Table1[[#This Row],[New_Last_Date]]-Table1[[#This Row],[New_DoJ]])/365.25, "")</f>
        <v>6.1190965092402463</v>
      </c>
      <c r="S364" s="2" cm="1">
        <f t="array" ref="S36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64" s="2" t="str">
        <f>IF(Table1[[#This Row],[New_DoJ]] &gt;= EDATE( MAX(Table1[New_DoJ]), -24), "Yes", "No")</f>
        <v>No</v>
      </c>
    </row>
    <row r="365" spans="1:20" x14ac:dyDescent="0.3">
      <c r="A365" s="4">
        <v>231751</v>
      </c>
      <c r="B365" s="5" t="s">
        <v>967</v>
      </c>
      <c r="C365" s="5" t="s">
        <v>968</v>
      </c>
      <c r="D365" s="5" t="s">
        <v>124</v>
      </c>
      <c r="E365" s="5" t="s">
        <v>33</v>
      </c>
      <c r="F365" s="15">
        <v>33933</v>
      </c>
      <c r="G365" s="5">
        <v>9</v>
      </c>
      <c r="H365" s="5" t="s">
        <v>17</v>
      </c>
      <c r="I365" s="5">
        <v>0</v>
      </c>
      <c r="J365" s="5" t="s">
        <v>24</v>
      </c>
      <c r="K365" s="12">
        <v>40000</v>
      </c>
      <c r="L365" s="5" t="s">
        <v>77</v>
      </c>
      <c r="M365" s="6" t="s">
        <v>87</v>
      </c>
      <c r="N365" s="15">
        <v>19260</v>
      </c>
      <c r="O365" s="15">
        <v>33933</v>
      </c>
      <c r="P365" s="5"/>
      <c r="Q365" s="2" t="str">
        <f>INDEX(Table3[#All], MATCH(Table1[[#This Row],[Dept_Id]], Table3[[#All],[Dept_Id]], 0), 1)</f>
        <v>Customer Service</v>
      </c>
      <c r="R365" s="22" t="str">
        <f>IF(Table1[[#This Row],[Left?]] = 1, (Table1[[#This Row],[New_Last_Date]]-Table1[[#This Row],[New_DoJ]])/365.25, "")</f>
        <v/>
      </c>
      <c r="S365" s="2" cm="1">
        <f t="array" ref="S36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65" s="2" t="str">
        <f>IF(Table1[[#This Row],[New_DoJ]] &gt;= EDATE( MAX(Table1[New_DoJ]), -24), "Yes", "No")</f>
        <v>No</v>
      </c>
    </row>
    <row r="366" spans="1:20" x14ac:dyDescent="0.3">
      <c r="A366" s="4">
        <v>10219</v>
      </c>
      <c r="B366" s="5" t="s">
        <v>969</v>
      </c>
      <c r="C366" s="5" t="s">
        <v>970</v>
      </c>
      <c r="D366" s="5" t="s">
        <v>971</v>
      </c>
      <c r="E366" s="5" t="s">
        <v>16</v>
      </c>
      <c r="F366" s="15">
        <v>34059</v>
      </c>
      <c r="G366" s="5">
        <v>2</v>
      </c>
      <c r="H366" s="5" t="s">
        <v>34</v>
      </c>
      <c r="I366" s="5">
        <v>0</v>
      </c>
      <c r="J366" s="5" t="s">
        <v>24</v>
      </c>
      <c r="K366" s="12">
        <v>40000</v>
      </c>
      <c r="L366" s="5" t="s">
        <v>19</v>
      </c>
      <c r="M366" s="6" t="s">
        <v>87</v>
      </c>
      <c r="N366" s="15">
        <v>19116</v>
      </c>
      <c r="O366" s="15">
        <v>34059</v>
      </c>
      <c r="P366" s="5"/>
      <c r="Q366" s="2" t="str">
        <f>INDEX(Table3[#All], MATCH(Table1[[#This Row],[Dept_Id]], Table3[[#All],[Dept_Id]], 0), 1)</f>
        <v>Development</v>
      </c>
      <c r="R366" s="22" t="str">
        <f>IF(Table1[[#This Row],[Left?]] = 1, (Table1[[#This Row],[New_Last_Date]]-Table1[[#This Row],[New_DoJ]])/365.25, "")</f>
        <v/>
      </c>
      <c r="S366" s="2" cm="1">
        <f t="array" ref="S36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66" s="2" t="str">
        <f>IF(Table1[[#This Row],[New_DoJ]] &gt;= EDATE( MAX(Table1[New_DoJ]), -24), "Yes", "No")</f>
        <v>No</v>
      </c>
    </row>
    <row r="367" spans="1:20" x14ac:dyDescent="0.3">
      <c r="A367" s="4">
        <v>10219</v>
      </c>
      <c r="B367" s="5" t="s">
        <v>969</v>
      </c>
      <c r="C367" s="5" t="s">
        <v>970</v>
      </c>
      <c r="D367" s="5" t="s">
        <v>971</v>
      </c>
      <c r="E367" s="5" t="s">
        <v>16</v>
      </c>
      <c r="F367" s="15">
        <v>34059</v>
      </c>
      <c r="G367" s="5">
        <v>2</v>
      </c>
      <c r="H367" s="5" t="s">
        <v>34</v>
      </c>
      <c r="I367" s="5">
        <v>0</v>
      </c>
      <c r="J367" s="5" t="s">
        <v>24</v>
      </c>
      <c r="K367" s="12">
        <v>40000</v>
      </c>
      <c r="L367" s="5" t="s">
        <v>77</v>
      </c>
      <c r="M367" s="6" t="s">
        <v>87</v>
      </c>
      <c r="N367" s="15">
        <v>19116</v>
      </c>
      <c r="O367" s="15">
        <v>34059</v>
      </c>
      <c r="P367" s="5"/>
      <c r="Q367" s="2" t="str">
        <f>INDEX(Table3[#All], MATCH(Table1[[#This Row],[Dept_Id]], Table3[[#All],[Dept_Id]], 0), 1)</f>
        <v>Customer Service</v>
      </c>
      <c r="R367" s="22" t="str">
        <f>IF(Table1[[#This Row],[Left?]] = 1, (Table1[[#This Row],[New_Last_Date]]-Table1[[#This Row],[New_DoJ]])/365.25, "")</f>
        <v/>
      </c>
      <c r="S367" s="2" cm="1">
        <f t="array" ref="S36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67" s="2" t="str">
        <f>IF(Table1[[#This Row],[New_DoJ]] &gt;= EDATE( MAX(Table1[New_DoJ]), -24), "Yes", "No")</f>
        <v>No</v>
      </c>
    </row>
    <row r="368" spans="1:20" x14ac:dyDescent="0.3">
      <c r="A368" s="4">
        <v>201452</v>
      </c>
      <c r="B368" s="5" t="s">
        <v>972</v>
      </c>
      <c r="C368" s="5" t="s">
        <v>173</v>
      </c>
      <c r="D368" s="5" t="s">
        <v>929</v>
      </c>
      <c r="E368" s="5" t="s">
        <v>16</v>
      </c>
      <c r="F368" s="15">
        <v>35845</v>
      </c>
      <c r="G368" s="5">
        <v>6</v>
      </c>
      <c r="H368" s="5" t="s">
        <v>17</v>
      </c>
      <c r="I368" s="5">
        <v>0</v>
      </c>
      <c r="J368" s="5" t="s">
        <v>24</v>
      </c>
      <c r="K368" s="12">
        <v>58639</v>
      </c>
      <c r="L368" s="5" t="s">
        <v>25</v>
      </c>
      <c r="M368" s="6" t="s">
        <v>50</v>
      </c>
      <c r="N368" s="15">
        <v>21659</v>
      </c>
      <c r="O368" s="15">
        <v>35845</v>
      </c>
      <c r="P368" s="5"/>
      <c r="Q368" s="2" t="str">
        <f>INDEX(Table3[#All], MATCH(Table1[[#This Row],[Dept_Id]], Table3[[#All],[Dept_Id]], 0), 1)</f>
        <v>Production</v>
      </c>
      <c r="R368" s="22" t="str">
        <f>IF(Table1[[#This Row],[Left?]] = 1, (Table1[[#This Row],[New_Last_Date]]-Table1[[#This Row],[New_DoJ]])/365.25, "")</f>
        <v/>
      </c>
      <c r="S368" s="2" cm="1">
        <f t="array" ref="S36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68" s="2" t="str">
        <f>IF(Table1[[#This Row],[New_DoJ]] &gt;= EDATE( MAX(Table1[New_DoJ]), -24), "Yes", "No")</f>
        <v>Yes</v>
      </c>
    </row>
    <row r="369" spans="1:20" x14ac:dyDescent="0.3">
      <c r="A369" s="4">
        <v>10220</v>
      </c>
      <c r="B369" s="5" t="s">
        <v>973</v>
      </c>
      <c r="C369" s="5" t="s">
        <v>974</v>
      </c>
      <c r="D369" s="5" t="s">
        <v>975</v>
      </c>
      <c r="E369" s="5" t="s">
        <v>33</v>
      </c>
      <c r="F369" s="15">
        <v>33780</v>
      </c>
      <c r="G369" s="5">
        <v>8</v>
      </c>
      <c r="H369" s="5" t="s">
        <v>17</v>
      </c>
      <c r="I369" s="5">
        <v>0</v>
      </c>
      <c r="J369" s="5" t="s">
        <v>24</v>
      </c>
      <c r="K369" s="12">
        <v>58883</v>
      </c>
      <c r="L369" s="5" t="s">
        <v>92</v>
      </c>
      <c r="M369" s="6" t="s">
        <v>39</v>
      </c>
      <c r="N369" s="15">
        <v>21330</v>
      </c>
      <c r="O369" s="15">
        <v>33780</v>
      </c>
      <c r="P369" s="5"/>
      <c r="Q369" s="2" t="str">
        <f>INDEX(Table3[#All], MATCH(Table1[[#This Row],[Dept_Id]], Table3[[#All],[Dept_Id]], 0), 1)</f>
        <v>Finance</v>
      </c>
      <c r="R369" s="22" t="str">
        <f>IF(Table1[[#This Row],[Left?]] = 1, (Table1[[#This Row],[New_Last_Date]]-Table1[[#This Row],[New_DoJ]])/365.25, "")</f>
        <v/>
      </c>
      <c r="S369" s="2" cm="1">
        <f t="array" ref="S36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69" s="2" t="str">
        <f>IF(Table1[[#This Row],[New_DoJ]] &gt;= EDATE( MAX(Table1[New_DoJ]), -24), "Yes", "No")</f>
        <v>No</v>
      </c>
    </row>
    <row r="370" spans="1:20" x14ac:dyDescent="0.3">
      <c r="A370" s="4">
        <v>10221</v>
      </c>
      <c r="B370" s="5" t="s">
        <v>976</v>
      </c>
      <c r="C370" s="5" t="s">
        <v>977</v>
      </c>
      <c r="D370" s="5" t="s">
        <v>978</v>
      </c>
      <c r="E370" s="5" t="s">
        <v>16</v>
      </c>
      <c r="F370" s="15">
        <v>32302</v>
      </c>
      <c r="G370" s="5">
        <v>1</v>
      </c>
      <c r="H370" s="5" t="s">
        <v>17</v>
      </c>
      <c r="I370" s="5">
        <v>0</v>
      </c>
      <c r="J370" s="5" t="s">
        <v>24</v>
      </c>
      <c r="K370" s="12">
        <v>57821</v>
      </c>
      <c r="L370" s="5" t="s">
        <v>25</v>
      </c>
      <c r="M370" s="6" t="s">
        <v>20</v>
      </c>
      <c r="N370" s="15">
        <v>20823</v>
      </c>
      <c r="O370" s="15">
        <v>32302</v>
      </c>
      <c r="P370" s="5"/>
      <c r="Q370" s="2" t="str">
        <f>INDEX(Table3[#All], MATCH(Table1[[#This Row],[Dept_Id]], Table3[[#All],[Dept_Id]], 0), 1)</f>
        <v>Production</v>
      </c>
      <c r="R370" s="22" t="str">
        <f>IF(Table1[[#This Row],[Left?]] = 1, (Table1[[#This Row],[New_Last_Date]]-Table1[[#This Row],[New_DoJ]])/365.25, "")</f>
        <v/>
      </c>
      <c r="S370" s="2" cm="1">
        <f t="array" ref="S37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70" s="2" t="str">
        <f>IF(Table1[[#This Row],[New_DoJ]] &gt;= EDATE( MAX(Table1[New_DoJ]), -24), "Yes", "No")</f>
        <v>No</v>
      </c>
    </row>
    <row r="371" spans="1:20" x14ac:dyDescent="0.3">
      <c r="A371" s="4">
        <v>435436</v>
      </c>
      <c r="B371" s="5" t="s">
        <v>979</v>
      </c>
      <c r="C371" s="5" t="s">
        <v>980</v>
      </c>
      <c r="D371" s="5" t="s">
        <v>981</v>
      </c>
      <c r="E371" s="5" t="s">
        <v>33</v>
      </c>
      <c r="F371" s="15">
        <v>34992</v>
      </c>
      <c r="G371" s="5">
        <v>2</v>
      </c>
      <c r="H371" s="5" t="s">
        <v>29</v>
      </c>
      <c r="I371" s="5">
        <v>1</v>
      </c>
      <c r="J371" s="5" t="s">
        <v>982</v>
      </c>
      <c r="K371" s="12">
        <v>55903</v>
      </c>
      <c r="L371" s="5" t="s">
        <v>25</v>
      </c>
      <c r="M371" s="6" t="s">
        <v>20</v>
      </c>
      <c r="N371" s="15">
        <v>22006</v>
      </c>
      <c r="O371" s="15">
        <v>34992</v>
      </c>
      <c r="P371" s="15">
        <v>39980</v>
      </c>
      <c r="Q371" s="2" t="str">
        <f>INDEX(Table3[#All], MATCH(Table1[[#This Row],[Dept_Id]], Table3[[#All],[Dept_Id]], 0), 1)</f>
        <v>Production</v>
      </c>
      <c r="R371" s="22">
        <f>IF(Table1[[#This Row],[Left?]] = 1, (Table1[[#This Row],[New_Last_Date]]-Table1[[#This Row],[New_DoJ]])/365.25, "")</f>
        <v>13.656399726214921</v>
      </c>
      <c r="S371" s="2" cm="1">
        <f t="array" ref="S37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71" s="2" t="str">
        <f>IF(Table1[[#This Row],[New_DoJ]] &gt;= EDATE( MAX(Table1[New_DoJ]), -24), "Yes", "No")</f>
        <v>No</v>
      </c>
    </row>
    <row r="372" spans="1:20" x14ac:dyDescent="0.3">
      <c r="A372" s="4">
        <v>10222</v>
      </c>
      <c r="B372" s="5" t="s">
        <v>983</v>
      </c>
      <c r="C372" s="5" t="s">
        <v>984</v>
      </c>
      <c r="D372" s="5" t="s">
        <v>985</v>
      </c>
      <c r="E372" s="5" t="s">
        <v>16</v>
      </c>
      <c r="F372" s="15">
        <v>31571</v>
      </c>
      <c r="G372" s="5">
        <v>7</v>
      </c>
      <c r="H372" s="5" t="s">
        <v>29</v>
      </c>
      <c r="I372" s="5">
        <v>0</v>
      </c>
      <c r="J372" s="5" t="s">
        <v>24</v>
      </c>
      <c r="K372" s="12">
        <v>40000</v>
      </c>
      <c r="L372" s="5" t="s">
        <v>25</v>
      </c>
      <c r="M372" s="6" t="s">
        <v>50</v>
      </c>
      <c r="N372" s="15">
        <v>22910</v>
      </c>
      <c r="O372" s="15">
        <v>31571</v>
      </c>
      <c r="P372" s="5"/>
      <c r="Q372" s="2" t="str">
        <f>INDEX(Table3[#All], MATCH(Table1[[#This Row],[Dept_Id]], Table3[[#All],[Dept_Id]], 0), 1)</f>
        <v>Production</v>
      </c>
      <c r="R372" s="22" t="str">
        <f>IF(Table1[[#This Row],[Left?]] = 1, (Table1[[#This Row],[New_Last_Date]]-Table1[[#This Row],[New_DoJ]])/365.25, "")</f>
        <v/>
      </c>
      <c r="S372" s="2" cm="1">
        <f t="array" ref="S37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72" s="2" t="str">
        <f>IF(Table1[[#This Row],[New_DoJ]] &gt;= EDATE( MAX(Table1[New_DoJ]), -24), "Yes", "No")</f>
        <v>No</v>
      </c>
    </row>
    <row r="373" spans="1:20" x14ac:dyDescent="0.3">
      <c r="A373" s="4">
        <v>10223</v>
      </c>
      <c r="B373" s="5" t="s">
        <v>986</v>
      </c>
      <c r="C373" s="5" t="s">
        <v>987</v>
      </c>
      <c r="D373" s="5" t="s">
        <v>988</v>
      </c>
      <c r="E373" s="5" t="s">
        <v>33</v>
      </c>
      <c r="F373" s="15">
        <v>31369</v>
      </c>
      <c r="G373" s="5">
        <v>1</v>
      </c>
      <c r="H373" s="5" t="s">
        <v>17</v>
      </c>
      <c r="I373" s="5">
        <v>0</v>
      </c>
      <c r="J373" s="5" t="s">
        <v>24</v>
      </c>
      <c r="K373" s="12">
        <v>62922</v>
      </c>
      <c r="L373" s="5" t="s">
        <v>19</v>
      </c>
      <c r="M373" s="6" t="s">
        <v>50</v>
      </c>
      <c r="N373" s="15">
        <v>23271</v>
      </c>
      <c r="O373" s="15">
        <v>31369</v>
      </c>
      <c r="P373" s="5"/>
      <c r="Q373" s="2" t="str">
        <f>INDEX(Table3[#All], MATCH(Table1[[#This Row],[Dept_Id]], Table3[[#All],[Dept_Id]], 0), 1)</f>
        <v>Development</v>
      </c>
      <c r="R373" s="22" t="str">
        <f>IF(Table1[[#This Row],[Left?]] = 1, (Table1[[#This Row],[New_Last_Date]]-Table1[[#This Row],[New_DoJ]])/365.25, "")</f>
        <v/>
      </c>
      <c r="S373" s="2" cm="1">
        <f t="array" ref="S37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73" s="2" t="str">
        <f>IF(Table1[[#This Row],[New_DoJ]] &gt;= EDATE( MAX(Table1[New_DoJ]), -24), "Yes", "No")</f>
        <v>No</v>
      </c>
    </row>
    <row r="374" spans="1:20" x14ac:dyDescent="0.3">
      <c r="A374" s="4">
        <v>98882</v>
      </c>
      <c r="B374" s="5" t="s">
        <v>989</v>
      </c>
      <c r="C374" s="5" t="s">
        <v>226</v>
      </c>
      <c r="D374" s="5" t="s">
        <v>990</v>
      </c>
      <c r="E374" s="5" t="s">
        <v>33</v>
      </c>
      <c r="F374" s="15">
        <v>32829</v>
      </c>
      <c r="G374" s="5">
        <v>1</v>
      </c>
      <c r="H374" s="5" t="s">
        <v>17</v>
      </c>
      <c r="I374" s="5">
        <v>0</v>
      </c>
      <c r="J374" s="5" t="s">
        <v>24</v>
      </c>
      <c r="K374" s="12">
        <v>40000</v>
      </c>
      <c r="L374" s="5" t="s">
        <v>19</v>
      </c>
      <c r="M374" s="6" t="s">
        <v>20</v>
      </c>
      <c r="N374" s="15">
        <v>19795</v>
      </c>
      <c r="O374" s="15">
        <v>32829</v>
      </c>
      <c r="P374" s="5"/>
      <c r="Q374" s="2" t="str">
        <f>INDEX(Table3[#All], MATCH(Table1[[#This Row],[Dept_Id]], Table3[[#All],[Dept_Id]], 0), 1)</f>
        <v>Development</v>
      </c>
      <c r="R374" s="22" t="str">
        <f>IF(Table1[[#This Row],[Left?]] = 1, (Table1[[#This Row],[New_Last_Date]]-Table1[[#This Row],[New_DoJ]])/365.25, "")</f>
        <v/>
      </c>
      <c r="S374" s="2" cm="1">
        <f t="array" ref="S37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74" s="2" t="str">
        <f>IF(Table1[[#This Row],[New_DoJ]] &gt;= EDATE( MAX(Table1[New_DoJ]), -24), "Yes", "No")</f>
        <v>No</v>
      </c>
    </row>
    <row r="375" spans="1:20" x14ac:dyDescent="0.3">
      <c r="A375" s="4">
        <v>10224</v>
      </c>
      <c r="B375" s="5" t="s">
        <v>991</v>
      </c>
      <c r="C375" s="5" t="s">
        <v>992</v>
      </c>
      <c r="D375" s="5" t="s">
        <v>993</v>
      </c>
      <c r="E375" s="5" t="s">
        <v>16</v>
      </c>
      <c r="F375" s="15">
        <v>32151</v>
      </c>
      <c r="G375" s="5">
        <v>7</v>
      </c>
      <c r="H375" s="5" t="s">
        <v>29</v>
      </c>
      <c r="I375" s="5">
        <v>0</v>
      </c>
      <c r="J375" s="5" t="s">
        <v>24</v>
      </c>
      <c r="K375" s="12">
        <v>40000</v>
      </c>
      <c r="L375" s="5" t="s">
        <v>25</v>
      </c>
      <c r="M375" s="6" t="s">
        <v>20</v>
      </c>
      <c r="N375" s="15">
        <v>19861</v>
      </c>
      <c r="O375" s="15">
        <v>32151</v>
      </c>
      <c r="P375" s="5"/>
      <c r="Q375" s="2" t="str">
        <f>INDEX(Table3[#All], MATCH(Table1[[#This Row],[Dept_Id]], Table3[[#All],[Dept_Id]], 0), 1)</f>
        <v>Production</v>
      </c>
      <c r="R375" s="22" t="str">
        <f>IF(Table1[[#This Row],[Left?]] = 1, (Table1[[#This Row],[New_Last_Date]]-Table1[[#This Row],[New_DoJ]])/365.25, "")</f>
        <v/>
      </c>
      <c r="S375" s="2" cm="1">
        <f t="array" ref="S37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75" s="2" t="str">
        <f>IF(Table1[[#This Row],[New_DoJ]] &gt;= EDATE( MAX(Table1[New_DoJ]), -24), "Yes", "No")</f>
        <v>No</v>
      </c>
    </row>
    <row r="376" spans="1:20" x14ac:dyDescent="0.3">
      <c r="A376" s="4">
        <v>10225</v>
      </c>
      <c r="B376" s="5" t="s">
        <v>356</v>
      </c>
      <c r="C376" s="5" t="s">
        <v>994</v>
      </c>
      <c r="D376" s="5" t="s">
        <v>995</v>
      </c>
      <c r="E376" s="5" t="s">
        <v>33</v>
      </c>
      <c r="F376" s="15">
        <v>31582</v>
      </c>
      <c r="G376" s="5">
        <v>7</v>
      </c>
      <c r="H376" s="5" t="s">
        <v>17</v>
      </c>
      <c r="I376" s="5">
        <v>0</v>
      </c>
      <c r="J376" s="5" t="s">
        <v>24</v>
      </c>
      <c r="K376" s="12">
        <v>40000</v>
      </c>
      <c r="L376" s="5" t="s">
        <v>77</v>
      </c>
      <c r="M376" s="6" t="s">
        <v>39</v>
      </c>
      <c r="N376" s="15">
        <v>20864</v>
      </c>
      <c r="O376" s="15">
        <v>31582</v>
      </c>
      <c r="P376" s="5"/>
      <c r="Q376" s="2" t="str">
        <f>INDEX(Table3[#All], MATCH(Table1[[#This Row],[Dept_Id]], Table3[[#All],[Dept_Id]], 0), 1)</f>
        <v>Customer Service</v>
      </c>
      <c r="R376" s="22" t="str">
        <f>IF(Table1[[#This Row],[Left?]] = 1, (Table1[[#This Row],[New_Last_Date]]-Table1[[#This Row],[New_DoJ]])/365.25, "")</f>
        <v/>
      </c>
      <c r="S376" s="2" cm="1">
        <f t="array" ref="S37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76" s="2" t="str">
        <f>IF(Table1[[#This Row],[New_DoJ]] &gt;= EDATE( MAX(Table1[New_DoJ]), -24), "Yes", "No")</f>
        <v>No</v>
      </c>
    </row>
    <row r="377" spans="1:20" x14ac:dyDescent="0.3">
      <c r="A377" s="4">
        <v>42924</v>
      </c>
      <c r="B377" s="5" t="s">
        <v>554</v>
      </c>
      <c r="C377" s="5" t="s">
        <v>996</v>
      </c>
      <c r="D377" s="5" t="s">
        <v>997</v>
      </c>
      <c r="E377" s="5" t="s">
        <v>33</v>
      </c>
      <c r="F377" s="15">
        <v>33683</v>
      </c>
      <c r="G377" s="5">
        <v>8</v>
      </c>
      <c r="H377" s="5" t="s">
        <v>29</v>
      </c>
      <c r="I377" s="5">
        <v>0</v>
      </c>
      <c r="J377" s="5" t="s">
        <v>24</v>
      </c>
      <c r="K377" s="12">
        <v>40000</v>
      </c>
      <c r="L377" s="5" t="s">
        <v>25</v>
      </c>
      <c r="M377" s="6" t="s">
        <v>20</v>
      </c>
      <c r="N377" s="15">
        <v>22578</v>
      </c>
      <c r="O377" s="15">
        <v>33683</v>
      </c>
      <c r="P377" s="5"/>
      <c r="Q377" s="2" t="str">
        <f>INDEX(Table3[#All], MATCH(Table1[[#This Row],[Dept_Id]], Table3[[#All],[Dept_Id]], 0), 1)</f>
        <v>Production</v>
      </c>
      <c r="R377" s="22" t="str">
        <f>IF(Table1[[#This Row],[Left?]] = 1, (Table1[[#This Row],[New_Last_Date]]-Table1[[#This Row],[New_DoJ]])/365.25, "")</f>
        <v/>
      </c>
      <c r="S377" s="2" cm="1">
        <f t="array" ref="S37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77" s="2" t="str">
        <f>IF(Table1[[#This Row],[New_DoJ]] &gt;= EDATE( MAX(Table1[New_DoJ]), -24), "Yes", "No")</f>
        <v>No</v>
      </c>
    </row>
    <row r="378" spans="1:20" x14ac:dyDescent="0.3">
      <c r="A378" s="4">
        <v>10226</v>
      </c>
      <c r="B378" s="5" t="s">
        <v>998</v>
      </c>
      <c r="C378" s="5" t="s">
        <v>427</v>
      </c>
      <c r="D378" s="5" t="s">
        <v>999</v>
      </c>
      <c r="E378" s="5" t="s">
        <v>16</v>
      </c>
      <c r="F378" s="15">
        <v>32808</v>
      </c>
      <c r="G378" s="5">
        <v>2</v>
      </c>
      <c r="H378" s="5" t="s">
        <v>17</v>
      </c>
      <c r="I378" s="5">
        <v>0</v>
      </c>
      <c r="J378" s="5" t="s">
        <v>24</v>
      </c>
      <c r="K378" s="12">
        <v>79456</v>
      </c>
      <c r="L378" s="5" t="s">
        <v>38</v>
      </c>
      <c r="M378" s="6" t="s">
        <v>39</v>
      </c>
      <c r="N378" s="15">
        <v>23739</v>
      </c>
      <c r="O378" s="15">
        <v>32808</v>
      </c>
      <c r="P378" s="5"/>
      <c r="Q378" s="2" t="str">
        <f>INDEX(Table3[#All], MATCH(Table1[[#This Row],[Dept_Id]], Table3[[#All],[Dept_Id]], 0), 1)</f>
        <v>Sales</v>
      </c>
      <c r="R378" s="22" t="str">
        <f>IF(Table1[[#This Row],[Left?]] = 1, (Table1[[#This Row],[New_Last_Date]]-Table1[[#This Row],[New_DoJ]])/365.25, "")</f>
        <v/>
      </c>
      <c r="S378" s="2" cm="1">
        <f t="array" ref="S37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78" s="2" t="str">
        <f>IF(Table1[[#This Row],[New_DoJ]] &gt;= EDATE( MAX(Table1[New_DoJ]), -24), "Yes", "No")</f>
        <v>No</v>
      </c>
    </row>
    <row r="379" spans="1:20" x14ac:dyDescent="0.3">
      <c r="A379" s="4">
        <v>10227</v>
      </c>
      <c r="B379" s="5" t="s">
        <v>1000</v>
      </c>
      <c r="C379" s="5" t="s">
        <v>1001</v>
      </c>
      <c r="D379" s="5" t="s">
        <v>1002</v>
      </c>
      <c r="E379" s="5" t="s">
        <v>16</v>
      </c>
      <c r="F379" s="15">
        <v>34448</v>
      </c>
      <c r="G379" s="5">
        <v>4</v>
      </c>
      <c r="H379" s="5" t="s">
        <v>34</v>
      </c>
      <c r="I379" s="5">
        <v>0</v>
      </c>
      <c r="J379" s="5" t="s">
        <v>24</v>
      </c>
      <c r="K379" s="12">
        <v>53497</v>
      </c>
      <c r="L379" s="5" t="s">
        <v>19</v>
      </c>
      <c r="M379" s="6" t="s">
        <v>129</v>
      </c>
      <c r="N379" s="15">
        <v>21005</v>
      </c>
      <c r="O379" s="15">
        <v>34448</v>
      </c>
      <c r="P379" s="5"/>
      <c r="Q379" s="2" t="str">
        <f>INDEX(Table3[#All], MATCH(Table1[[#This Row],[Dept_Id]], Table3[[#All],[Dept_Id]], 0), 1)</f>
        <v>Development</v>
      </c>
      <c r="R379" s="22" t="str">
        <f>IF(Table1[[#This Row],[Left?]] = 1, (Table1[[#This Row],[New_Last_Date]]-Table1[[#This Row],[New_DoJ]])/365.25, "")</f>
        <v/>
      </c>
      <c r="S379" s="2" cm="1">
        <f t="array" ref="S37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79" s="2" t="str">
        <f>IF(Table1[[#This Row],[New_DoJ]] &gt;= EDATE( MAX(Table1[New_DoJ]), -24), "Yes", "No")</f>
        <v>No</v>
      </c>
    </row>
    <row r="380" spans="1:20" x14ac:dyDescent="0.3">
      <c r="A380" s="4">
        <v>78316</v>
      </c>
      <c r="B380" s="5" t="s">
        <v>1003</v>
      </c>
      <c r="C380" s="5" t="s">
        <v>1004</v>
      </c>
      <c r="D380" s="5" t="s">
        <v>1005</v>
      </c>
      <c r="E380" s="5" t="s">
        <v>16</v>
      </c>
      <c r="F380" s="15">
        <v>34773</v>
      </c>
      <c r="G380" s="5">
        <v>9</v>
      </c>
      <c r="H380" s="5" t="s">
        <v>34</v>
      </c>
      <c r="I380" s="5">
        <v>0</v>
      </c>
      <c r="J380" s="5" t="s">
        <v>24</v>
      </c>
      <c r="K380" s="12">
        <v>40000</v>
      </c>
      <c r="L380" s="5" t="s">
        <v>19</v>
      </c>
      <c r="M380" s="6" t="s">
        <v>129</v>
      </c>
      <c r="N380" s="15">
        <v>22660</v>
      </c>
      <c r="O380" s="15">
        <v>34773</v>
      </c>
      <c r="P380" s="5"/>
      <c r="Q380" s="2" t="str">
        <f>INDEX(Table3[#All], MATCH(Table1[[#This Row],[Dept_Id]], Table3[[#All],[Dept_Id]], 0), 1)</f>
        <v>Development</v>
      </c>
      <c r="R380" s="22" t="str">
        <f>IF(Table1[[#This Row],[Left?]] = 1, (Table1[[#This Row],[New_Last_Date]]-Table1[[#This Row],[New_DoJ]])/365.25, "")</f>
        <v/>
      </c>
      <c r="S380" s="2" cm="1">
        <f t="array" ref="S38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80" s="2" t="str">
        <f>IF(Table1[[#This Row],[New_DoJ]] &gt;= EDATE( MAX(Table1[New_DoJ]), -24), "Yes", "No")</f>
        <v>No</v>
      </c>
    </row>
    <row r="381" spans="1:20" x14ac:dyDescent="0.3">
      <c r="A381" s="4">
        <v>10228</v>
      </c>
      <c r="B381" s="5" t="s">
        <v>481</v>
      </c>
      <c r="C381" s="5" t="s">
        <v>476</v>
      </c>
      <c r="D381" s="5" t="s">
        <v>1006</v>
      </c>
      <c r="E381" s="5" t="s">
        <v>33</v>
      </c>
      <c r="F381" s="15">
        <v>33476</v>
      </c>
      <c r="G381" s="5">
        <v>8</v>
      </c>
      <c r="H381" s="5" t="s">
        <v>34</v>
      </c>
      <c r="I381" s="5">
        <v>0</v>
      </c>
      <c r="J381" s="5" t="s">
        <v>24</v>
      </c>
      <c r="K381" s="12">
        <v>79474</v>
      </c>
      <c r="L381" s="5" t="s">
        <v>105</v>
      </c>
      <c r="M381" s="6" t="s">
        <v>39</v>
      </c>
      <c r="N381" s="15">
        <v>19470</v>
      </c>
      <c r="O381" s="15">
        <v>33476</v>
      </c>
      <c r="P381" s="5"/>
      <c r="Q381" s="2" t="str">
        <f>INDEX(Table3[#All], MATCH(Table1[[#This Row],[Dept_Id]], Table3[[#All],[Dept_Id]], 0), 1)</f>
        <v>Marketing</v>
      </c>
      <c r="R381" s="22" t="str">
        <f>IF(Table1[[#This Row],[Left?]] = 1, (Table1[[#This Row],[New_Last_Date]]-Table1[[#This Row],[New_DoJ]])/365.25, "")</f>
        <v/>
      </c>
      <c r="S381" s="2" cm="1">
        <f t="array" ref="S38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81" s="2" t="str">
        <f>IF(Table1[[#This Row],[New_DoJ]] &gt;= EDATE( MAX(Table1[New_DoJ]), -24), "Yes", "No")</f>
        <v>No</v>
      </c>
    </row>
    <row r="382" spans="1:20" x14ac:dyDescent="0.3">
      <c r="A382" s="4">
        <v>10228</v>
      </c>
      <c r="B382" s="5" t="s">
        <v>481</v>
      </c>
      <c r="C382" s="5" t="s">
        <v>476</v>
      </c>
      <c r="D382" s="5" t="s">
        <v>1006</v>
      </c>
      <c r="E382" s="5" t="s">
        <v>33</v>
      </c>
      <c r="F382" s="15">
        <v>33476</v>
      </c>
      <c r="G382" s="5">
        <v>8</v>
      </c>
      <c r="H382" s="5" t="s">
        <v>34</v>
      </c>
      <c r="I382" s="5">
        <v>0</v>
      </c>
      <c r="J382" s="5" t="s">
        <v>24</v>
      </c>
      <c r="K382" s="12">
        <v>79474</v>
      </c>
      <c r="L382" s="5" t="s">
        <v>38</v>
      </c>
      <c r="M382" s="6" t="s">
        <v>39</v>
      </c>
      <c r="N382" s="15">
        <v>19470</v>
      </c>
      <c r="O382" s="15">
        <v>33476</v>
      </c>
      <c r="P382" s="5"/>
      <c r="Q382" s="2" t="str">
        <f>INDEX(Table3[#All], MATCH(Table1[[#This Row],[Dept_Id]], Table3[[#All],[Dept_Id]], 0), 1)</f>
        <v>Sales</v>
      </c>
      <c r="R382" s="22" t="str">
        <f>IF(Table1[[#This Row],[Left?]] = 1, (Table1[[#This Row],[New_Last_Date]]-Table1[[#This Row],[New_DoJ]])/365.25, "")</f>
        <v/>
      </c>
      <c r="S382" s="2" cm="1">
        <f t="array" ref="S38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82" s="2" t="str">
        <f>IF(Table1[[#This Row],[New_DoJ]] &gt;= EDATE( MAX(Table1[New_DoJ]), -24), "Yes", "No")</f>
        <v>No</v>
      </c>
    </row>
    <row r="383" spans="1:20" x14ac:dyDescent="0.3">
      <c r="A383" s="4">
        <v>430484</v>
      </c>
      <c r="B383" s="5" t="s">
        <v>1007</v>
      </c>
      <c r="C383" s="5" t="s">
        <v>299</v>
      </c>
      <c r="D383" s="5" t="s">
        <v>1008</v>
      </c>
      <c r="E383" s="5" t="s">
        <v>33</v>
      </c>
      <c r="F383" s="15">
        <v>31850</v>
      </c>
      <c r="G383" s="5">
        <v>5</v>
      </c>
      <c r="H383" s="5" t="s">
        <v>34</v>
      </c>
      <c r="I383" s="5">
        <v>0</v>
      </c>
      <c r="J383" s="5" t="s">
        <v>24</v>
      </c>
      <c r="K383" s="12">
        <v>40000</v>
      </c>
      <c r="L383" s="5" t="s">
        <v>25</v>
      </c>
      <c r="M383" s="6" t="s">
        <v>20</v>
      </c>
      <c r="N383" s="15">
        <v>22948</v>
      </c>
      <c r="O383" s="15">
        <v>31850</v>
      </c>
      <c r="P383" s="5"/>
      <c r="Q383" s="2" t="str">
        <f>INDEX(Table3[#All], MATCH(Table1[[#This Row],[Dept_Id]], Table3[[#All],[Dept_Id]], 0), 1)</f>
        <v>Production</v>
      </c>
      <c r="R383" s="22" t="str">
        <f>IF(Table1[[#This Row],[Left?]] = 1, (Table1[[#This Row],[New_Last_Date]]-Table1[[#This Row],[New_DoJ]])/365.25, "")</f>
        <v/>
      </c>
      <c r="S383" s="2" cm="1">
        <f t="array" ref="S38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83" s="2" t="str">
        <f>IF(Table1[[#This Row],[New_DoJ]] &gt;= EDATE( MAX(Table1[New_DoJ]), -24), "Yes", "No")</f>
        <v>No</v>
      </c>
    </row>
    <row r="384" spans="1:20" x14ac:dyDescent="0.3">
      <c r="A384" s="4">
        <v>10229</v>
      </c>
      <c r="B384" s="5" t="s">
        <v>1009</v>
      </c>
      <c r="C384" s="5" t="s">
        <v>1010</v>
      </c>
      <c r="D384" s="5" t="s">
        <v>1011</v>
      </c>
      <c r="E384" s="5" t="s">
        <v>16</v>
      </c>
      <c r="F384" s="15">
        <v>32103</v>
      </c>
      <c r="G384" s="5">
        <v>7</v>
      </c>
      <c r="H384" s="5" t="s">
        <v>34</v>
      </c>
      <c r="I384" s="5">
        <v>1</v>
      </c>
      <c r="J384" s="5" t="s">
        <v>1012</v>
      </c>
      <c r="K384" s="12">
        <v>58321</v>
      </c>
      <c r="L384" s="5" t="s">
        <v>63</v>
      </c>
      <c r="M384" s="6" t="s">
        <v>50</v>
      </c>
      <c r="N384" s="15">
        <v>19034</v>
      </c>
      <c r="O384" s="15">
        <v>32103</v>
      </c>
      <c r="P384" s="15">
        <v>33266</v>
      </c>
      <c r="Q384" s="2" t="str">
        <f>INDEX(Table3[#All], MATCH(Table1[[#This Row],[Dept_Id]], Table3[[#All],[Dept_Id]], 0), 1)</f>
        <v>Quality Management</v>
      </c>
      <c r="R384" s="22">
        <f>IF(Table1[[#This Row],[Left?]] = 1, (Table1[[#This Row],[New_Last_Date]]-Table1[[#This Row],[New_DoJ]])/365.25, "")</f>
        <v>3.184120465434634</v>
      </c>
      <c r="S384" s="2" cm="1">
        <f t="array" ref="S38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84" s="2" t="str">
        <f>IF(Table1[[#This Row],[New_DoJ]] &gt;= EDATE( MAX(Table1[New_DoJ]), -24), "Yes", "No")</f>
        <v>No</v>
      </c>
    </row>
    <row r="385" spans="1:20" x14ac:dyDescent="0.3">
      <c r="A385" s="4">
        <v>10230</v>
      </c>
      <c r="B385" s="5" t="s">
        <v>1013</v>
      </c>
      <c r="C385" s="5" t="s">
        <v>1014</v>
      </c>
      <c r="D385" s="5" t="s">
        <v>1015</v>
      </c>
      <c r="E385" s="5" t="s">
        <v>16</v>
      </c>
      <c r="F385" s="15">
        <v>35232</v>
      </c>
      <c r="G385" s="5">
        <v>7</v>
      </c>
      <c r="H385" s="5" t="s">
        <v>34</v>
      </c>
      <c r="I385" s="5">
        <v>0</v>
      </c>
      <c r="J385" s="5" t="s">
        <v>24</v>
      </c>
      <c r="K385" s="12">
        <v>47531</v>
      </c>
      <c r="L385" s="5" t="s">
        <v>55</v>
      </c>
      <c r="M385" s="6" t="s">
        <v>39</v>
      </c>
      <c r="N385" s="15">
        <v>20343</v>
      </c>
      <c r="O385" s="15">
        <v>35232</v>
      </c>
      <c r="P385" s="5"/>
      <c r="Q385" s="2" t="str">
        <f>INDEX(Table3[#All], MATCH(Table1[[#This Row],[Dept_Id]], Table3[[#All],[Dept_Id]], 0), 1)</f>
        <v>Research</v>
      </c>
      <c r="R385" s="22" t="str">
        <f>IF(Table1[[#This Row],[Left?]] = 1, (Table1[[#This Row],[New_Last_Date]]-Table1[[#This Row],[New_DoJ]])/365.25, "")</f>
        <v/>
      </c>
      <c r="S385" s="2" cm="1">
        <f t="array" ref="S38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85" s="2" t="str">
        <f>IF(Table1[[#This Row],[New_DoJ]] &gt;= EDATE( MAX(Table1[New_DoJ]), -24), "Yes", "No")</f>
        <v>No</v>
      </c>
    </row>
    <row r="386" spans="1:20" x14ac:dyDescent="0.3">
      <c r="A386" s="4">
        <v>401368</v>
      </c>
      <c r="B386" s="5" t="s">
        <v>979</v>
      </c>
      <c r="C386" s="5" t="s">
        <v>1016</v>
      </c>
      <c r="D386" s="5" t="s">
        <v>685</v>
      </c>
      <c r="E386" s="5" t="s">
        <v>16</v>
      </c>
      <c r="F386" s="15">
        <v>33576</v>
      </c>
      <c r="G386" s="5">
        <v>10</v>
      </c>
      <c r="H386" s="5" t="s">
        <v>17</v>
      </c>
      <c r="I386" s="5">
        <v>0</v>
      </c>
      <c r="J386" s="5" t="s">
        <v>24</v>
      </c>
      <c r="K386" s="12">
        <v>40000</v>
      </c>
      <c r="L386" s="5" t="s">
        <v>19</v>
      </c>
      <c r="M386" s="6" t="s">
        <v>50</v>
      </c>
      <c r="N386" s="15">
        <v>22006</v>
      </c>
      <c r="O386" s="15">
        <v>33576</v>
      </c>
      <c r="P386" s="5"/>
      <c r="Q386" s="2" t="str">
        <f>INDEX(Table3[#All], MATCH(Table1[[#This Row],[Dept_Id]], Table3[[#All],[Dept_Id]], 0), 1)</f>
        <v>Development</v>
      </c>
      <c r="R386" s="22" t="str">
        <f>IF(Table1[[#This Row],[Left?]] = 1, (Table1[[#This Row],[New_Last_Date]]-Table1[[#This Row],[New_DoJ]])/365.25, "")</f>
        <v/>
      </c>
      <c r="S386" s="2" cm="1">
        <f t="array" ref="S38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86" s="2" t="str">
        <f>IF(Table1[[#This Row],[New_DoJ]] &gt;= EDATE( MAX(Table1[New_DoJ]), -24), "Yes", "No")</f>
        <v>No</v>
      </c>
    </row>
    <row r="387" spans="1:20" x14ac:dyDescent="0.3">
      <c r="A387" s="4">
        <v>10231</v>
      </c>
      <c r="B387" s="5" t="s">
        <v>1017</v>
      </c>
      <c r="C387" s="5" t="s">
        <v>437</v>
      </c>
      <c r="D387" s="5" t="s">
        <v>453</v>
      </c>
      <c r="E387" s="5" t="s">
        <v>33</v>
      </c>
      <c r="F387" s="15">
        <v>35168</v>
      </c>
      <c r="G387" s="5">
        <v>7</v>
      </c>
      <c r="H387" s="5" t="s">
        <v>34</v>
      </c>
      <c r="I387" s="5">
        <v>0</v>
      </c>
      <c r="J387" s="5" t="s">
        <v>24</v>
      </c>
      <c r="K387" s="12">
        <v>40000</v>
      </c>
      <c r="L387" s="5" t="s">
        <v>77</v>
      </c>
      <c r="M387" s="6" t="s">
        <v>39</v>
      </c>
      <c r="N387" s="15">
        <v>23213</v>
      </c>
      <c r="O387" s="15">
        <v>35168</v>
      </c>
      <c r="P387" s="5"/>
      <c r="Q387" s="2" t="str">
        <f>INDEX(Table3[#All], MATCH(Table1[[#This Row],[Dept_Id]], Table3[[#All],[Dept_Id]], 0), 1)</f>
        <v>Customer Service</v>
      </c>
      <c r="R387" s="22" t="str">
        <f>IF(Table1[[#This Row],[Left?]] = 1, (Table1[[#This Row],[New_Last_Date]]-Table1[[#This Row],[New_DoJ]])/365.25, "")</f>
        <v/>
      </c>
      <c r="S387" s="2" cm="1">
        <f t="array" ref="S38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87" s="2" t="str">
        <f>IF(Table1[[#This Row],[New_DoJ]] &gt;= EDATE( MAX(Table1[New_DoJ]), -24), "Yes", "No")</f>
        <v>No</v>
      </c>
    </row>
    <row r="388" spans="1:20" x14ac:dyDescent="0.3">
      <c r="A388" s="4">
        <v>10232</v>
      </c>
      <c r="B388" s="5" t="s">
        <v>1018</v>
      </c>
      <c r="C388" s="5" t="s">
        <v>1019</v>
      </c>
      <c r="D388" s="5" t="s">
        <v>656</v>
      </c>
      <c r="E388" s="5" t="s">
        <v>33</v>
      </c>
      <c r="F388" s="15">
        <v>33759</v>
      </c>
      <c r="G388" s="5">
        <v>9</v>
      </c>
      <c r="H388" s="5" t="s">
        <v>29</v>
      </c>
      <c r="I388" s="5">
        <v>1</v>
      </c>
      <c r="J388" s="5" t="s">
        <v>1020</v>
      </c>
      <c r="K388" s="12">
        <v>89606</v>
      </c>
      <c r="L388" s="5" t="s">
        <v>38</v>
      </c>
      <c r="M388" s="6" t="s">
        <v>39</v>
      </c>
      <c r="N388" s="15">
        <v>20525</v>
      </c>
      <c r="O388" s="15">
        <v>33759</v>
      </c>
      <c r="P388" s="15">
        <v>36159</v>
      </c>
      <c r="Q388" s="2" t="str">
        <f>INDEX(Table3[#All], MATCH(Table1[[#This Row],[Dept_Id]], Table3[[#All],[Dept_Id]], 0), 1)</f>
        <v>Sales</v>
      </c>
      <c r="R388" s="22">
        <f>IF(Table1[[#This Row],[Left?]] = 1, (Table1[[#This Row],[New_Last_Date]]-Table1[[#This Row],[New_DoJ]])/365.25, "")</f>
        <v>6.5708418891170428</v>
      </c>
      <c r="S388" s="2" cm="1">
        <f t="array" ref="S38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88" s="2" t="str">
        <f>IF(Table1[[#This Row],[New_DoJ]] &gt;= EDATE( MAX(Table1[New_DoJ]), -24), "Yes", "No")</f>
        <v>No</v>
      </c>
    </row>
    <row r="389" spans="1:20" x14ac:dyDescent="0.3">
      <c r="A389" s="4">
        <v>211383</v>
      </c>
      <c r="B389" s="5" t="s">
        <v>1021</v>
      </c>
      <c r="C389" s="5" t="s">
        <v>1022</v>
      </c>
      <c r="D389" s="5" t="s">
        <v>1023</v>
      </c>
      <c r="E389" s="5" t="s">
        <v>16</v>
      </c>
      <c r="F389" s="15">
        <v>33925</v>
      </c>
      <c r="G389" s="5">
        <v>9</v>
      </c>
      <c r="H389" s="5" t="s">
        <v>29</v>
      </c>
      <c r="I389" s="5">
        <v>0</v>
      </c>
      <c r="J389" s="5" t="s">
        <v>24</v>
      </c>
      <c r="K389" s="12">
        <v>54215</v>
      </c>
      <c r="L389" s="5" t="s">
        <v>105</v>
      </c>
      <c r="M389" s="6" t="s">
        <v>39</v>
      </c>
      <c r="N389" s="15">
        <v>22183</v>
      </c>
      <c r="O389" s="15">
        <v>33925</v>
      </c>
      <c r="P389" s="5"/>
      <c r="Q389" s="2" t="str">
        <f>INDEX(Table3[#All], MATCH(Table1[[#This Row],[Dept_Id]], Table3[[#All],[Dept_Id]], 0), 1)</f>
        <v>Marketing</v>
      </c>
      <c r="R389" s="22" t="str">
        <f>IF(Table1[[#This Row],[Left?]] = 1, (Table1[[#This Row],[New_Last_Date]]-Table1[[#This Row],[New_DoJ]])/365.25, "")</f>
        <v/>
      </c>
      <c r="S389" s="2" cm="1">
        <f t="array" ref="S38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89" s="2" t="str">
        <f>IF(Table1[[#This Row],[New_DoJ]] &gt;= EDATE( MAX(Table1[New_DoJ]), -24), "Yes", "No")</f>
        <v>No</v>
      </c>
    </row>
    <row r="390" spans="1:20" x14ac:dyDescent="0.3">
      <c r="A390" s="4">
        <v>211383</v>
      </c>
      <c r="B390" s="5" t="s">
        <v>1021</v>
      </c>
      <c r="C390" s="5" t="s">
        <v>1022</v>
      </c>
      <c r="D390" s="5" t="s">
        <v>1023</v>
      </c>
      <c r="E390" s="5" t="s">
        <v>16</v>
      </c>
      <c r="F390" s="15">
        <v>33925</v>
      </c>
      <c r="G390" s="5">
        <v>9</v>
      </c>
      <c r="H390" s="5" t="s">
        <v>29</v>
      </c>
      <c r="I390" s="5">
        <v>0</v>
      </c>
      <c r="J390" s="5" t="s">
        <v>24</v>
      </c>
      <c r="K390" s="12">
        <v>54215</v>
      </c>
      <c r="L390" s="5" t="s">
        <v>38</v>
      </c>
      <c r="M390" s="6" t="s">
        <v>39</v>
      </c>
      <c r="N390" s="15">
        <v>22183</v>
      </c>
      <c r="O390" s="15">
        <v>33925</v>
      </c>
      <c r="P390" s="5"/>
      <c r="Q390" s="2" t="str">
        <f>INDEX(Table3[#All], MATCH(Table1[[#This Row],[Dept_Id]], Table3[[#All],[Dept_Id]], 0), 1)</f>
        <v>Sales</v>
      </c>
      <c r="R390" s="22" t="str">
        <f>IF(Table1[[#This Row],[Left?]] = 1, (Table1[[#This Row],[New_Last_Date]]-Table1[[#This Row],[New_DoJ]])/365.25, "")</f>
        <v/>
      </c>
      <c r="S390" s="2" cm="1">
        <f t="array" ref="S39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90" s="2" t="str">
        <f>IF(Table1[[#This Row],[New_DoJ]] &gt;= EDATE( MAX(Table1[New_DoJ]), -24), "Yes", "No")</f>
        <v>No</v>
      </c>
    </row>
    <row r="391" spans="1:20" x14ac:dyDescent="0.3">
      <c r="A391" s="4">
        <v>10233</v>
      </c>
      <c r="B391" s="5" t="s">
        <v>1024</v>
      </c>
      <c r="C391" s="5" t="s">
        <v>1025</v>
      </c>
      <c r="D391" s="5" t="s">
        <v>1026</v>
      </c>
      <c r="E391" s="5" t="s">
        <v>33</v>
      </c>
      <c r="F391" s="15">
        <v>31233</v>
      </c>
      <c r="G391" s="5">
        <v>1</v>
      </c>
      <c r="H391" s="5" t="s">
        <v>17</v>
      </c>
      <c r="I391" s="5">
        <v>0</v>
      </c>
      <c r="J391" s="5" t="s">
        <v>24</v>
      </c>
      <c r="K391" s="12">
        <v>40000</v>
      </c>
      <c r="L391" s="5" t="s">
        <v>43</v>
      </c>
      <c r="M391" s="6" t="s">
        <v>39</v>
      </c>
      <c r="N391" s="15">
        <v>19815</v>
      </c>
      <c r="O391" s="15">
        <v>31233</v>
      </c>
      <c r="P391" s="5"/>
      <c r="Q391" s="2" t="str">
        <f>INDEX(Table3[#All], MATCH(Table1[[#This Row],[Dept_Id]], Table3[[#All],[Dept_Id]], 0), 1)</f>
        <v>Human Resources</v>
      </c>
      <c r="R391" s="22" t="str">
        <f>IF(Table1[[#This Row],[Left?]] = 1, (Table1[[#This Row],[New_Last_Date]]-Table1[[#This Row],[New_DoJ]])/365.25, "")</f>
        <v/>
      </c>
      <c r="S391" s="2" cm="1">
        <f t="array" ref="S39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91" s="2" t="str">
        <f>IF(Table1[[#This Row],[New_DoJ]] &gt;= EDATE( MAX(Table1[New_DoJ]), -24), "Yes", "No")</f>
        <v>No</v>
      </c>
    </row>
    <row r="392" spans="1:20" x14ac:dyDescent="0.3">
      <c r="A392" s="4">
        <v>10234</v>
      </c>
      <c r="B392" s="5" t="s">
        <v>1027</v>
      </c>
      <c r="C392" s="5" t="s">
        <v>1028</v>
      </c>
      <c r="D392" s="5" t="s">
        <v>315</v>
      </c>
      <c r="E392" s="5" t="s">
        <v>16</v>
      </c>
      <c r="F392" s="15">
        <v>33196</v>
      </c>
      <c r="G392" s="5">
        <v>10</v>
      </c>
      <c r="H392" s="5" t="s">
        <v>34</v>
      </c>
      <c r="I392" s="5">
        <v>0</v>
      </c>
      <c r="J392" s="5" t="s">
        <v>24</v>
      </c>
      <c r="K392" s="12">
        <v>84584</v>
      </c>
      <c r="L392" s="5" t="s">
        <v>38</v>
      </c>
      <c r="M392" s="6" t="s">
        <v>39</v>
      </c>
      <c r="N392" s="15">
        <v>22299</v>
      </c>
      <c r="O392" s="15">
        <v>33196</v>
      </c>
      <c r="P392" s="5"/>
      <c r="Q392" s="2" t="str">
        <f>INDEX(Table3[#All], MATCH(Table1[[#This Row],[Dept_Id]], Table3[[#All],[Dept_Id]], 0), 1)</f>
        <v>Sales</v>
      </c>
      <c r="R392" s="22" t="str">
        <f>IF(Table1[[#This Row],[Left?]] = 1, (Table1[[#This Row],[New_Last_Date]]-Table1[[#This Row],[New_DoJ]])/365.25, "")</f>
        <v/>
      </c>
      <c r="S392" s="2" cm="1">
        <f t="array" ref="S39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92" s="2" t="str">
        <f>IF(Table1[[#This Row],[New_DoJ]] &gt;= EDATE( MAX(Table1[New_DoJ]), -24), "Yes", "No")</f>
        <v>No</v>
      </c>
    </row>
    <row r="393" spans="1:20" x14ac:dyDescent="0.3">
      <c r="A393" s="4">
        <v>452859</v>
      </c>
      <c r="B393" s="5" t="s">
        <v>1029</v>
      </c>
      <c r="C393" s="5" t="s">
        <v>1030</v>
      </c>
      <c r="D393" s="5" t="s">
        <v>1031</v>
      </c>
      <c r="E393" s="5" t="s">
        <v>16</v>
      </c>
      <c r="F393" s="15">
        <v>32383</v>
      </c>
      <c r="G393" s="5">
        <v>2</v>
      </c>
      <c r="H393" s="5" t="s">
        <v>34</v>
      </c>
      <c r="I393" s="5">
        <v>0</v>
      </c>
      <c r="J393" s="5" t="s">
        <v>24</v>
      </c>
      <c r="K393" s="12">
        <v>57777</v>
      </c>
      <c r="L393" s="5" t="s">
        <v>105</v>
      </c>
      <c r="M393" s="6" t="s">
        <v>39</v>
      </c>
      <c r="N393" s="15">
        <v>22019</v>
      </c>
      <c r="O393" s="15">
        <v>32383</v>
      </c>
      <c r="P393" s="5"/>
      <c r="Q393" s="2" t="str">
        <f>INDEX(Table3[#All], MATCH(Table1[[#This Row],[Dept_Id]], Table3[[#All],[Dept_Id]], 0), 1)</f>
        <v>Marketing</v>
      </c>
      <c r="R393" s="22" t="str">
        <f>IF(Table1[[#This Row],[Left?]] = 1, (Table1[[#This Row],[New_Last_Date]]-Table1[[#This Row],[New_DoJ]])/365.25, "")</f>
        <v/>
      </c>
      <c r="S393" s="2" cm="1">
        <f t="array" ref="S39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93" s="2" t="str">
        <f>IF(Table1[[#This Row],[New_DoJ]] &gt;= EDATE( MAX(Table1[New_DoJ]), -24), "Yes", "No")</f>
        <v>No</v>
      </c>
    </row>
    <row r="394" spans="1:20" x14ac:dyDescent="0.3">
      <c r="A394" s="4">
        <v>10235</v>
      </c>
      <c r="B394" s="5" t="s">
        <v>1032</v>
      </c>
      <c r="C394" s="5" t="s">
        <v>1033</v>
      </c>
      <c r="D394" s="5" t="s">
        <v>1034</v>
      </c>
      <c r="E394" s="5" t="s">
        <v>33</v>
      </c>
      <c r="F394" s="15">
        <v>34795</v>
      </c>
      <c r="G394" s="5">
        <v>8</v>
      </c>
      <c r="H394" s="5" t="s">
        <v>29</v>
      </c>
      <c r="I394" s="5">
        <v>1</v>
      </c>
      <c r="J394" s="5" t="s">
        <v>1035</v>
      </c>
      <c r="K394" s="12">
        <v>41941</v>
      </c>
      <c r="L394" s="5" t="s">
        <v>25</v>
      </c>
      <c r="M394" s="6" t="s">
        <v>20</v>
      </c>
      <c r="N394" s="15">
        <v>21271</v>
      </c>
      <c r="O394" s="15">
        <v>34795</v>
      </c>
      <c r="P394" s="15">
        <v>37873</v>
      </c>
      <c r="Q394" s="2" t="str">
        <f>INDEX(Table3[#All], MATCH(Table1[[#This Row],[Dept_Id]], Table3[[#All],[Dept_Id]], 0), 1)</f>
        <v>Production</v>
      </c>
      <c r="R394" s="22">
        <f>IF(Table1[[#This Row],[Left?]] = 1, (Table1[[#This Row],[New_Last_Date]]-Table1[[#This Row],[New_DoJ]])/365.25, "")</f>
        <v>8.4271047227926079</v>
      </c>
      <c r="S394" s="2" cm="1">
        <f t="array" ref="S39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94" s="2" t="str">
        <f>IF(Table1[[#This Row],[New_DoJ]] &gt;= EDATE( MAX(Table1[New_DoJ]), -24), "Yes", "No")</f>
        <v>No</v>
      </c>
    </row>
    <row r="395" spans="1:20" x14ac:dyDescent="0.3">
      <c r="A395" s="4">
        <v>10236</v>
      </c>
      <c r="B395" s="5" t="s">
        <v>564</v>
      </c>
      <c r="C395" s="5" t="s">
        <v>1036</v>
      </c>
      <c r="D395" s="5" t="s">
        <v>1037</v>
      </c>
      <c r="E395" s="5" t="s">
        <v>33</v>
      </c>
      <c r="F395" s="15">
        <v>35307</v>
      </c>
      <c r="G395" s="5">
        <v>10</v>
      </c>
      <c r="H395" s="5" t="s">
        <v>17</v>
      </c>
      <c r="I395" s="5">
        <v>0</v>
      </c>
      <c r="J395" s="5" t="s">
        <v>24</v>
      </c>
      <c r="K395" s="12">
        <v>80469</v>
      </c>
      <c r="L395" s="5" t="s">
        <v>38</v>
      </c>
      <c r="M395" s="6" t="s">
        <v>39</v>
      </c>
      <c r="N395" s="15">
        <v>22001</v>
      </c>
      <c r="O395" s="15">
        <v>35307</v>
      </c>
      <c r="P395" s="5"/>
      <c r="Q395" s="2" t="str">
        <f>INDEX(Table3[#All], MATCH(Table1[[#This Row],[Dept_Id]], Table3[[#All],[Dept_Id]], 0), 1)</f>
        <v>Sales</v>
      </c>
      <c r="R395" s="22" t="str">
        <f>IF(Table1[[#This Row],[Left?]] = 1, (Table1[[#This Row],[New_Last_Date]]-Table1[[#This Row],[New_DoJ]])/365.25, "")</f>
        <v/>
      </c>
      <c r="S395" s="2" cm="1">
        <f t="array" ref="S39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395" s="2" t="str">
        <f>IF(Table1[[#This Row],[New_DoJ]] &gt;= EDATE( MAX(Table1[New_DoJ]), -24), "Yes", "No")</f>
        <v>No</v>
      </c>
    </row>
    <row r="396" spans="1:20" x14ac:dyDescent="0.3">
      <c r="A396" s="4">
        <v>11842</v>
      </c>
      <c r="B396" s="5" t="s">
        <v>1038</v>
      </c>
      <c r="C396" s="5" t="s">
        <v>1039</v>
      </c>
      <c r="D396" s="5" t="s">
        <v>1040</v>
      </c>
      <c r="E396" s="5" t="s">
        <v>16</v>
      </c>
      <c r="F396" s="15">
        <v>33583</v>
      </c>
      <c r="G396" s="5">
        <v>9</v>
      </c>
      <c r="H396" s="5" t="s">
        <v>29</v>
      </c>
      <c r="I396" s="5">
        <v>0</v>
      </c>
      <c r="J396" s="5" t="s">
        <v>24</v>
      </c>
      <c r="K396" s="12">
        <v>40000</v>
      </c>
      <c r="L396" s="5" t="s">
        <v>55</v>
      </c>
      <c r="M396" s="6" t="s">
        <v>39</v>
      </c>
      <c r="N396" s="15">
        <v>19814</v>
      </c>
      <c r="O396" s="15">
        <v>33583</v>
      </c>
      <c r="P396" s="5"/>
      <c r="Q396" s="2" t="str">
        <f>INDEX(Table3[#All], MATCH(Table1[[#This Row],[Dept_Id]], Table3[[#All],[Dept_Id]], 0), 1)</f>
        <v>Research</v>
      </c>
      <c r="R396" s="22" t="str">
        <f>IF(Table1[[#This Row],[Left?]] = 1, (Table1[[#This Row],[New_Last_Date]]-Table1[[#This Row],[New_DoJ]])/365.25, "")</f>
        <v/>
      </c>
      <c r="S396" s="2" cm="1">
        <f t="array" ref="S39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96" s="2" t="str">
        <f>IF(Table1[[#This Row],[New_DoJ]] &gt;= EDATE( MAX(Table1[New_DoJ]), -24), "Yes", "No")</f>
        <v>No</v>
      </c>
    </row>
    <row r="397" spans="1:20" x14ac:dyDescent="0.3">
      <c r="A397" s="4">
        <v>10237</v>
      </c>
      <c r="B397" s="5" t="s">
        <v>1041</v>
      </c>
      <c r="C397" s="5" t="s">
        <v>1042</v>
      </c>
      <c r="D397" s="5" t="s">
        <v>468</v>
      </c>
      <c r="E397" s="5" t="s">
        <v>33</v>
      </c>
      <c r="F397" s="15">
        <v>32731</v>
      </c>
      <c r="G397" s="5">
        <v>5</v>
      </c>
      <c r="H397" s="5" t="s">
        <v>34</v>
      </c>
      <c r="I397" s="5">
        <v>0</v>
      </c>
      <c r="J397" s="5" t="s">
        <v>24</v>
      </c>
      <c r="K397" s="12">
        <v>100715</v>
      </c>
      <c r="L397" s="5" t="s">
        <v>38</v>
      </c>
      <c r="M397" s="6" t="s">
        <v>39</v>
      </c>
      <c r="N397" s="15">
        <v>19259</v>
      </c>
      <c r="O397" s="15">
        <v>32731</v>
      </c>
      <c r="P397" s="5"/>
      <c r="Q397" s="2" t="str">
        <f>INDEX(Table3[#All], MATCH(Table1[[#This Row],[Dept_Id]], Table3[[#All],[Dept_Id]], 0), 1)</f>
        <v>Sales</v>
      </c>
      <c r="R397" s="22" t="str">
        <f>IF(Table1[[#This Row],[Left?]] = 1, (Table1[[#This Row],[New_Last_Date]]-Table1[[#This Row],[New_DoJ]])/365.25, "")</f>
        <v/>
      </c>
      <c r="S397" s="2" cm="1">
        <f t="array" ref="S39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397" s="2" t="str">
        <f>IF(Table1[[#This Row],[New_DoJ]] &gt;= EDATE( MAX(Table1[New_DoJ]), -24), "Yes", "No")</f>
        <v>No</v>
      </c>
    </row>
    <row r="398" spans="1:20" x14ac:dyDescent="0.3">
      <c r="A398" s="4">
        <v>10238</v>
      </c>
      <c r="B398" s="5" t="s">
        <v>1043</v>
      </c>
      <c r="C398" s="5" t="s">
        <v>1044</v>
      </c>
      <c r="D398" s="5" t="s">
        <v>1045</v>
      </c>
      <c r="E398" s="5" t="s">
        <v>33</v>
      </c>
      <c r="F398" s="15">
        <v>31735</v>
      </c>
      <c r="G398" s="5">
        <v>4</v>
      </c>
      <c r="H398" s="5" t="s">
        <v>29</v>
      </c>
      <c r="I398" s="5">
        <v>0</v>
      </c>
      <c r="J398" s="5" t="s">
        <v>24</v>
      </c>
      <c r="K398" s="12">
        <v>52764</v>
      </c>
      <c r="L398" s="5" t="s">
        <v>19</v>
      </c>
      <c r="M398" s="6" t="s">
        <v>50</v>
      </c>
      <c r="N398" s="15">
        <v>23683</v>
      </c>
      <c r="O398" s="15">
        <v>31735</v>
      </c>
      <c r="P398" s="5"/>
      <c r="Q398" s="2" t="str">
        <f>INDEX(Table3[#All], MATCH(Table1[[#This Row],[Dept_Id]], Table3[[#All],[Dept_Id]], 0), 1)</f>
        <v>Development</v>
      </c>
      <c r="R398" s="22" t="str">
        <f>IF(Table1[[#This Row],[Left?]] = 1, (Table1[[#This Row],[New_Last_Date]]-Table1[[#This Row],[New_DoJ]])/365.25, "")</f>
        <v/>
      </c>
      <c r="S398" s="2" cm="1">
        <f t="array" ref="S39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98" s="2" t="str">
        <f>IF(Table1[[#This Row],[New_DoJ]] &gt;= EDATE( MAX(Table1[New_DoJ]), -24), "Yes", "No")</f>
        <v>No</v>
      </c>
    </row>
    <row r="399" spans="1:20" x14ac:dyDescent="0.3">
      <c r="A399" s="4">
        <v>10238</v>
      </c>
      <c r="B399" s="5" t="s">
        <v>1043</v>
      </c>
      <c r="C399" s="5" t="s">
        <v>1044</v>
      </c>
      <c r="D399" s="5" t="s">
        <v>1045</v>
      </c>
      <c r="E399" s="5" t="s">
        <v>33</v>
      </c>
      <c r="F399" s="15">
        <v>31735</v>
      </c>
      <c r="G399" s="5">
        <v>4</v>
      </c>
      <c r="H399" s="5" t="s">
        <v>29</v>
      </c>
      <c r="I399" s="5">
        <v>0</v>
      </c>
      <c r="J399" s="5" t="s">
        <v>24</v>
      </c>
      <c r="K399" s="12">
        <v>52764</v>
      </c>
      <c r="L399" s="5" t="s">
        <v>55</v>
      </c>
      <c r="M399" s="6" t="s">
        <v>50</v>
      </c>
      <c r="N399" s="15">
        <v>23683</v>
      </c>
      <c r="O399" s="15">
        <v>31735</v>
      </c>
      <c r="P399" s="5"/>
      <c r="Q399" s="2" t="str">
        <f>INDEX(Table3[#All], MATCH(Table1[[#This Row],[Dept_Id]], Table3[[#All],[Dept_Id]], 0), 1)</f>
        <v>Research</v>
      </c>
      <c r="R399" s="22" t="str">
        <f>IF(Table1[[#This Row],[Left?]] = 1, (Table1[[#This Row],[New_Last_Date]]-Table1[[#This Row],[New_DoJ]])/365.25, "")</f>
        <v/>
      </c>
      <c r="S399" s="2" cm="1">
        <f t="array" ref="S39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399" s="2" t="str">
        <f>IF(Table1[[#This Row],[New_DoJ]] &gt;= EDATE( MAX(Table1[New_DoJ]), -24), "Yes", "No")</f>
        <v>No</v>
      </c>
    </row>
    <row r="400" spans="1:20" x14ac:dyDescent="0.3">
      <c r="A400" s="4">
        <v>439095</v>
      </c>
      <c r="B400" s="5" t="s">
        <v>1046</v>
      </c>
      <c r="C400" s="5" t="s">
        <v>634</v>
      </c>
      <c r="D400" s="5" t="s">
        <v>728</v>
      </c>
      <c r="E400" s="5" t="s">
        <v>16</v>
      </c>
      <c r="F400" s="15">
        <v>32848</v>
      </c>
      <c r="G400" s="5">
        <v>3</v>
      </c>
      <c r="H400" s="5" t="s">
        <v>34</v>
      </c>
      <c r="I400" s="5">
        <v>0</v>
      </c>
      <c r="J400" s="5" t="s">
        <v>24</v>
      </c>
      <c r="K400" s="12">
        <v>72075</v>
      </c>
      <c r="L400" s="5" t="s">
        <v>105</v>
      </c>
      <c r="M400" s="6" t="s">
        <v>39</v>
      </c>
      <c r="N400" s="15">
        <v>20200</v>
      </c>
      <c r="O400" s="15">
        <v>32848</v>
      </c>
      <c r="P400" s="5"/>
      <c r="Q400" s="2" t="str">
        <f>INDEX(Table3[#All], MATCH(Table1[[#This Row],[Dept_Id]], Table3[[#All],[Dept_Id]], 0), 1)</f>
        <v>Marketing</v>
      </c>
      <c r="R400" s="22" t="str">
        <f>IF(Table1[[#This Row],[Left?]] = 1, (Table1[[#This Row],[New_Last_Date]]-Table1[[#This Row],[New_DoJ]])/365.25, "")</f>
        <v/>
      </c>
      <c r="S400" s="2" cm="1">
        <f t="array" ref="S40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00" s="2" t="str">
        <f>IF(Table1[[#This Row],[New_DoJ]] &gt;= EDATE( MAX(Table1[New_DoJ]), -24), "Yes", "No")</f>
        <v>No</v>
      </c>
    </row>
    <row r="401" spans="1:20" x14ac:dyDescent="0.3">
      <c r="A401" s="4">
        <v>10239</v>
      </c>
      <c r="B401" s="5" t="s">
        <v>1047</v>
      </c>
      <c r="C401" s="5" t="s">
        <v>1048</v>
      </c>
      <c r="D401" s="5" t="s">
        <v>1049</v>
      </c>
      <c r="E401" s="5" t="s">
        <v>33</v>
      </c>
      <c r="F401" s="15">
        <v>34827</v>
      </c>
      <c r="G401" s="5">
        <v>2</v>
      </c>
      <c r="H401" s="5" t="s">
        <v>34</v>
      </c>
      <c r="I401" s="5">
        <v>0</v>
      </c>
      <c r="J401" s="5" t="s">
        <v>24</v>
      </c>
      <c r="K401" s="12">
        <v>65146</v>
      </c>
      <c r="L401" s="5" t="s">
        <v>105</v>
      </c>
      <c r="M401" s="6" t="s">
        <v>39</v>
      </c>
      <c r="N401" s="15">
        <v>20179</v>
      </c>
      <c r="O401" s="15">
        <v>34827</v>
      </c>
      <c r="P401" s="5"/>
      <c r="Q401" s="2" t="str">
        <f>INDEX(Table3[#All], MATCH(Table1[[#This Row],[Dept_Id]], Table3[[#All],[Dept_Id]], 0), 1)</f>
        <v>Marketing</v>
      </c>
      <c r="R401" s="22" t="str">
        <f>IF(Table1[[#This Row],[Left?]] = 1, (Table1[[#This Row],[New_Last_Date]]-Table1[[#This Row],[New_DoJ]])/365.25, "")</f>
        <v/>
      </c>
      <c r="S401" s="2" cm="1">
        <f t="array" ref="S40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01" s="2" t="str">
        <f>IF(Table1[[#This Row],[New_DoJ]] &gt;= EDATE( MAX(Table1[New_DoJ]), -24), "Yes", "No")</f>
        <v>No</v>
      </c>
    </row>
    <row r="402" spans="1:20" x14ac:dyDescent="0.3">
      <c r="A402" s="4">
        <v>427027</v>
      </c>
      <c r="B402" s="5" t="s">
        <v>1050</v>
      </c>
      <c r="C402" s="5" t="s">
        <v>82</v>
      </c>
      <c r="D402" s="5" t="s">
        <v>1051</v>
      </c>
      <c r="E402" s="5" t="s">
        <v>16</v>
      </c>
      <c r="F402" s="15">
        <v>32011</v>
      </c>
      <c r="G402" s="5">
        <v>8</v>
      </c>
      <c r="H402" s="5" t="s">
        <v>29</v>
      </c>
      <c r="I402" s="5">
        <v>0</v>
      </c>
      <c r="J402" s="5" t="s">
        <v>24</v>
      </c>
      <c r="K402" s="12">
        <v>40000</v>
      </c>
      <c r="L402" s="5" t="s">
        <v>77</v>
      </c>
      <c r="M402" s="6" t="s">
        <v>39</v>
      </c>
      <c r="N402" s="15">
        <v>23685</v>
      </c>
      <c r="O402" s="15">
        <v>32011</v>
      </c>
      <c r="P402" s="5"/>
      <c r="Q402" s="2" t="str">
        <f>INDEX(Table3[#All], MATCH(Table1[[#This Row],[Dept_Id]], Table3[[#All],[Dept_Id]], 0), 1)</f>
        <v>Customer Service</v>
      </c>
      <c r="R402" s="22" t="str">
        <f>IF(Table1[[#This Row],[Left?]] = 1, (Table1[[#This Row],[New_Last_Date]]-Table1[[#This Row],[New_DoJ]])/365.25, "")</f>
        <v/>
      </c>
      <c r="S402" s="2" cm="1">
        <f t="array" ref="S40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02" s="2" t="str">
        <f>IF(Table1[[#This Row],[New_DoJ]] &gt;= EDATE( MAX(Table1[New_DoJ]), -24), "Yes", "No")</f>
        <v>No</v>
      </c>
    </row>
    <row r="403" spans="1:20" x14ac:dyDescent="0.3">
      <c r="A403" s="4">
        <v>10240</v>
      </c>
      <c r="B403" s="5" t="s">
        <v>1052</v>
      </c>
      <c r="C403" s="5" t="s">
        <v>1053</v>
      </c>
      <c r="D403" s="5" t="s">
        <v>1054</v>
      </c>
      <c r="E403" s="5" t="s">
        <v>16</v>
      </c>
      <c r="F403" s="15">
        <v>36074</v>
      </c>
      <c r="G403" s="5">
        <v>9</v>
      </c>
      <c r="H403" s="5" t="s">
        <v>29</v>
      </c>
      <c r="I403" s="5">
        <v>0</v>
      </c>
      <c r="J403" s="5" t="s">
        <v>24</v>
      </c>
      <c r="K403" s="12">
        <v>73874</v>
      </c>
      <c r="L403" s="5" t="s">
        <v>63</v>
      </c>
      <c r="M403" s="6" t="s">
        <v>50</v>
      </c>
      <c r="N403" s="15">
        <v>19085</v>
      </c>
      <c r="O403" s="15">
        <v>36074</v>
      </c>
      <c r="P403" s="5"/>
      <c r="Q403" s="2" t="str">
        <f>INDEX(Table3[#All], MATCH(Table1[[#This Row],[Dept_Id]], Table3[[#All],[Dept_Id]], 0), 1)</f>
        <v>Quality Management</v>
      </c>
      <c r="R403" s="22" t="str">
        <f>IF(Table1[[#This Row],[Left?]] = 1, (Table1[[#This Row],[New_Last_Date]]-Table1[[#This Row],[New_DoJ]])/365.25, "")</f>
        <v/>
      </c>
      <c r="S403" s="2" cm="1">
        <f t="array" ref="S40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03" s="2" t="str">
        <f>IF(Table1[[#This Row],[New_DoJ]] &gt;= EDATE( MAX(Table1[New_DoJ]), -24), "Yes", "No")</f>
        <v>Yes</v>
      </c>
    </row>
    <row r="404" spans="1:20" x14ac:dyDescent="0.3">
      <c r="A404" s="4">
        <v>10241</v>
      </c>
      <c r="B404" s="5" t="s">
        <v>1055</v>
      </c>
      <c r="C404" s="5" t="s">
        <v>1056</v>
      </c>
      <c r="D404" s="5" t="s">
        <v>1057</v>
      </c>
      <c r="E404" s="5" t="s">
        <v>16</v>
      </c>
      <c r="F404" s="15">
        <v>32306</v>
      </c>
      <c r="G404" s="5">
        <v>2</v>
      </c>
      <c r="H404" s="5" t="s">
        <v>34</v>
      </c>
      <c r="I404" s="5">
        <v>0</v>
      </c>
      <c r="J404" s="5" t="s">
        <v>24</v>
      </c>
      <c r="K404" s="12">
        <v>40000</v>
      </c>
      <c r="L404" s="5" t="s">
        <v>92</v>
      </c>
      <c r="M404" s="6" t="s">
        <v>39</v>
      </c>
      <c r="N404" s="15">
        <v>21367</v>
      </c>
      <c r="O404" s="15">
        <v>32306</v>
      </c>
      <c r="P404" s="5"/>
      <c r="Q404" s="2" t="str">
        <f>INDEX(Table3[#All], MATCH(Table1[[#This Row],[Dept_Id]], Table3[[#All],[Dept_Id]], 0), 1)</f>
        <v>Finance</v>
      </c>
      <c r="R404" s="22" t="str">
        <f>IF(Table1[[#This Row],[Left?]] = 1, (Table1[[#This Row],[New_Last_Date]]-Table1[[#This Row],[New_DoJ]])/365.25, "")</f>
        <v/>
      </c>
      <c r="S404" s="2" cm="1">
        <f t="array" ref="S40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04" s="2" t="str">
        <f>IF(Table1[[#This Row],[New_DoJ]] &gt;= EDATE( MAX(Table1[New_DoJ]), -24), "Yes", "No")</f>
        <v>No</v>
      </c>
    </row>
    <row r="405" spans="1:20" x14ac:dyDescent="0.3">
      <c r="A405" s="4">
        <v>10242</v>
      </c>
      <c r="B405" s="5" t="s">
        <v>1058</v>
      </c>
      <c r="C405" s="5" t="s">
        <v>514</v>
      </c>
      <c r="D405" s="5" t="s">
        <v>1059</v>
      </c>
      <c r="E405" s="5" t="s">
        <v>16</v>
      </c>
      <c r="F405" s="15">
        <v>32160</v>
      </c>
      <c r="G405" s="5">
        <v>4</v>
      </c>
      <c r="H405" s="5" t="s">
        <v>29</v>
      </c>
      <c r="I405" s="5">
        <v>0</v>
      </c>
      <c r="J405" s="5" t="s">
        <v>24</v>
      </c>
      <c r="K405" s="12">
        <v>40000</v>
      </c>
      <c r="L405" s="5" t="s">
        <v>25</v>
      </c>
      <c r="M405" s="6" t="s">
        <v>20</v>
      </c>
      <c r="N405" s="15">
        <v>23429</v>
      </c>
      <c r="O405" s="15">
        <v>32160</v>
      </c>
      <c r="P405" s="5"/>
      <c r="Q405" s="2" t="str">
        <f>INDEX(Table3[#All], MATCH(Table1[[#This Row],[Dept_Id]], Table3[[#All],[Dept_Id]], 0), 1)</f>
        <v>Production</v>
      </c>
      <c r="R405" s="22" t="str">
        <f>IF(Table1[[#This Row],[Left?]] = 1, (Table1[[#This Row],[New_Last_Date]]-Table1[[#This Row],[New_DoJ]])/365.25, "")</f>
        <v/>
      </c>
      <c r="S405" s="2" cm="1">
        <f t="array" ref="S40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05" s="2" t="str">
        <f>IF(Table1[[#This Row],[New_DoJ]] &gt;= EDATE( MAX(Table1[New_DoJ]), -24), "Yes", "No")</f>
        <v>No</v>
      </c>
    </row>
    <row r="406" spans="1:20" x14ac:dyDescent="0.3">
      <c r="A406" s="4">
        <v>10243</v>
      </c>
      <c r="B406" s="5" t="s">
        <v>1060</v>
      </c>
      <c r="C406" s="5" t="s">
        <v>266</v>
      </c>
      <c r="D406" s="5" t="s">
        <v>1061</v>
      </c>
      <c r="E406" s="5" t="s">
        <v>16</v>
      </c>
      <c r="F406" s="15">
        <v>31375</v>
      </c>
      <c r="G406" s="5">
        <v>2</v>
      </c>
      <c r="H406" s="5" t="s">
        <v>29</v>
      </c>
      <c r="I406" s="5">
        <v>0</v>
      </c>
      <c r="J406" s="5" t="s">
        <v>24</v>
      </c>
      <c r="K406" s="12">
        <v>59332</v>
      </c>
      <c r="L406" s="5" t="s">
        <v>38</v>
      </c>
      <c r="M406" s="6" t="s">
        <v>87</v>
      </c>
      <c r="N406" s="15">
        <v>22272</v>
      </c>
      <c r="O406" s="15">
        <v>31375</v>
      </c>
      <c r="P406" s="5"/>
      <c r="Q406" s="2" t="str">
        <f>INDEX(Table3[#All], MATCH(Table1[[#This Row],[Dept_Id]], Table3[[#All],[Dept_Id]], 0), 1)</f>
        <v>Sales</v>
      </c>
      <c r="R406" s="22" t="str">
        <f>IF(Table1[[#This Row],[Left?]] = 1, (Table1[[#This Row],[New_Last_Date]]-Table1[[#This Row],[New_DoJ]])/365.25, "")</f>
        <v/>
      </c>
      <c r="S406" s="2" cm="1">
        <f t="array" ref="S40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06" s="2" t="str">
        <f>IF(Table1[[#This Row],[New_DoJ]] &gt;= EDATE( MAX(Table1[New_DoJ]), -24), "Yes", "No")</f>
        <v>No</v>
      </c>
    </row>
    <row r="407" spans="1:20" x14ac:dyDescent="0.3">
      <c r="A407" s="4">
        <v>219797</v>
      </c>
      <c r="B407" s="5" t="s">
        <v>1062</v>
      </c>
      <c r="C407" s="5" t="s">
        <v>1063</v>
      </c>
      <c r="D407" s="5" t="s">
        <v>171</v>
      </c>
      <c r="E407" s="5" t="s">
        <v>16</v>
      </c>
      <c r="F407" s="15">
        <v>32936</v>
      </c>
      <c r="G407" s="5">
        <v>4</v>
      </c>
      <c r="H407" s="5" t="s">
        <v>17</v>
      </c>
      <c r="I407" s="5">
        <v>0</v>
      </c>
      <c r="J407" s="5" t="s">
        <v>24</v>
      </c>
      <c r="K407" s="12">
        <v>40000</v>
      </c>
      <c r="L407" s="5" t="s">
        <v>38</v>
      </c>
      <c r="M407" s="6" t="s">
        <v>39</v>
      </c>
      <c r="N407" s="15">
        <v>20478</v>
      </c>
      <c r="O407" s="15">
        <v>32936</v>
      </c>
      <c r="P407" s="5"/>
      <c r="Q407" s="2" t="str">
        <f>INDEX(Table3[#All], MATCH(Table1[[#This Row],[Dept_Id]], Table3[[#All],[Dept_Id]], 0), 1)</f>
        <v>Sales</v>
      </c>
      <c r="R407" s="22" t="str">
        <f>IF(Table1[[#This Row],[Left?]] = 1, (Table1[[#This Row],[New_Last_Date]]-Table1[[#This Row],[New_DoJ]])/365.25, "")</f>
        <v/>
      </c>
      <c r="S407" s="2" cm="1">
        <f t="array" ref="S40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07" s="2" t="str">
        <f>IF(Table1[[#This Row],[New_DoJ]] &gt;= EDATE( MAX(Table1[New_DoJ]), -24), "Yes", "No")</f>
        <v>No</v>
      </c>
    </row>
    <row r="408" spans="1:20" x14ac:dyDescent="0.3">
      <c r="A408" s="4">
        <v>10244</v>
      </c>
      <c r="B408" s="5" t="s">
        <v>554</v>
      </c>
      <c r="C408" s="5" t="s">
        <v>653</v>
      </c>
      <c r="D408" s="5" t="s">
        <v>435</v>
      </c>
      <c r="E408" s="5" t="s">
        <v>16</v>
      </c>
      <c r="F408" s="15">
        <v>31404</v>
      </c>
      <c r="G408" s="5">
        <v>8</v>
      </c>
      <c r="H408" s="5" t="s">
        <v>17</v>
      </c>
      <c r="I408" s="5">
        <v>0</v>
      </c>
      <c r="J408" s="5" t="s">
        <v>24</v>
      </c>
      <c r="K408" s="12">
        <v>56292</v>
      </c>
      <c r="L408" s="5" t="s">
        <v>19</v>
      </c>
      <c r="M408" s="6" t="s">
        <v>50</v>
      </c>
      <c r="N408" s="15">
        <v>22578</v>
      </c>
      <c r="O408" s="15">
        <v>31404</v>
      </c>
      <c r="P408" s="5"/>
      <c r="Q408" s="2" t="str">
        <f>INDEX(Table3[#All], MATCH(Table1[[#This Row],[Dept_Id]], Table3[[#All],[Dept_Id]], 0), 1)</f>
        <v>Development</v>
      </c>
      <c r="R408" s="22" t="str">
        <f>IF(Table1[[#This Row],[Left?]] = 1, (Table1[[#This Row],[New_Last_Date]]-Table1[[#This Row],[New_DoJ]])/365.25, "")</f>
        <v/>
      </c>
      <c r="S408" s="2" cm="1">
        <f t="array" ref="S40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08" s="2" t="str">
        <f>IF(Table1[[#This Row],[New_DoJ]] &gt;= EDATE( MAX(Table1[New_DoJ]), -24), "Yes", "No")</f>
        <v>No</v>
      </c>
    </row>
    <row r="409" spans="1:20" x14ac:dyDescent="0.3">
      <c r="A409" s="4">
        <v>10245</v>
      </c>
      <c r="B409" s="5" t="s">
        <v>1064</v>
      </c>
      <c r="C409" s="5" t="s">
        <v>1065</v>
      </c>
      <c r="D409" s="5" t="s">
        <v>1066</v>
      </c>
      <c r="E409" s="5" t="s">
        <v>33</v>
      </c>
      <c r="F409" s="15">
        <v>31163</v>
      </c>
      <c r="G409" s="5">
        <v>1</v>
      </c>
      <c r="H409" s="5" t="s">
        <v>34</v>
      </c>
      <c r="I409" s="5">
        <v>0</v>
      </c>
      <c r="J409" s="5" t="s">
        <v>24</v>
      </c>
      <c r="K409" s="12">
        <v>40000</v>
      </c>
      <c r="L409" s="5" t="s">
        <v>55</v>
      </c>
      <c r="M409" s="6" t="s">
        <v>39</v>
      </c>
      <c r="N409" s="15">
        <v>22881</v>
      </c>
      <c r="O409" s="15">
        <v>31163</v>
      </c>
      <c r="P409" s="5"/>
      <c r="Q409" s="2" t="str">
        <f>INDEX(Table3[#All], MATCH(Table1[[#This Row],[Dept_Id]], Table3[[#All],[Dept_Id]], 0), 1)</f>
        <v>Research</v>
      </c>
      <c r="R409" s="22" t="str">
        <f>IF(Table1[[#This Row],[Left?]] = 1, (Table1[[#This Row],[New_Last_Date]]-Table1[[#This Row],[New_DoJ]])/365.25, "")</f>
        <v/>
      </c>
      <c r="S409" s="2" cm="1">
        <f t="array" ref="S40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09" s="2" t="str">
        <f>IF(Table1[[#This Row],[New_DoJ]] &gt;= EDATE( MAX(Table1[New_DoJ]), -24), "Yes", "No")</f>
        <v>No</v>
      </c>
    </row>
    <row r="410" spans="1:20" x14ac:dyDescent="0.3">
      <c r="A410" s="4">
        <v>293183</v>
      </c>
      <c r="B410" s="5" t="s">
        <v>1067</v>
      </c>
      <c r="C410" s="5" t="s">
        <v>1068</v>
      </c>
      <c r="D410" s="5" t="s">
        <v>1069</v>
      </c>
      <c r="E410" s="5" t="s">
        <v>33</v>
      </c>
      <c r="F410" s="15">
        <v>31686</v>
      </c>
      <c r="G410" s="5">
        <v>7</v>
      </c>
      <c r="H410" s="5" t="s">
        <v>17</v>
      </c>
      <c r="I410" s="5">
        <v>0</v>
      </c>
      <c r="J410" s="5" t="s">
        <v>24</v>
      </c>
      <c r="K410" s="12">
        <v>56376</v>
      </c>
      <c r="L410" s="5" t="s">
        <v>25</v>
      </c>
      <c r="M410" s="6" t="s">
        <v>50</v>
      </c>
      <c r="N410" s="15">
        <v>19303</v>
      </c>
      <c r="O410" s="15">
        <v>31686</v>
      </c>
      <c r="P410" s="5"/>
      <c r="Q410" s="2" t="str">
        <f>INDEX(Table3[#All], MATCH(Table1[[#This Row],[Dept_Id]], Table3[[#All],[Dept_Id]], 0), 1)</f>
        <v>Production</v>
      </c>
      <c r="R410" s="22" t="str">
        <f>IF(Table1[[#This Row],[Left?]] = 1, (Table1[[#This Row],[New_Last_Date]]-Table1[[#This Row],[New_DoJ]])/365.25, "")</f>
        <v/>
      </c>
      <c r="S410" s="2" cm="1">
        <f t="array" ref="S41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10" s="2" t="str">
        <f>IF(Table1[[#This Row],[New_DoJ]] &gt;= EDATE( MAX(Table1[New_DoJ]), -24), "Yes", "No")</f>
        <v>No</v>
      </c>
    </row>
    <row r="411" spans="1:20" x14ac:dyDescent="0.3">
      <c r="A411" s="4">
        <v>10246</v>
      </c>
      <c r="B411" s="5" t="s">
        <v>1070</v>
      </c>
      <c r="C411" s="5" t="s">
        <v>455</v>
      </c>
      <c r="D411" s="5" t="s">
        <v>1071</v>
      </c>
      <c r="E411" s="5" t="s">
        <v>16</v>
      </c>
      <c r="F411" s="15">
        <v>31970</v>
      </c>
      <c r="G411" s="5">
        <v>6</v>
      </c>
      <c r="H411" s="5" t="s">
        <v>34</v>
      </c>
      <c r="I411" s="5">
        <v>0</v>
      </c>
      <c r="J411" s="5" t="s">
        <v>24</v>
      </c>
      <c r="K411" s="12">
        <v>40000</v>
      </c>
      <c r="L411" s="5" t="s">
        <v>25</v>
      </c>
      <c r="M411" s="6" t="s">
        <v>20</v>
      </c>
      <c r="N411" s="15">
        <v>22820</v>
      </c>
      <c r="O411" s="15">
        <v>31970</v>
      </c>
      <c r="P411" s="5"/>
      <c r="Q411" s="2" t="str">
        <f>INDEX(Table3[#All], MATCH(Table1[[#This Row],[Dept_Id]], Table3[[#All],[Dept_Id]], 0), 1)</f>
        <v>Production</v>
      </c>
      <c r="R411" s="22" t="str">
        <f>IF(Table1[[#This Row],[Left?]] = 1, (Table1[[#This Row],[New_Last_Date]]-Table1[[#This Row],[New_DoJ]])/365.25, "")</f>
        <v/>
      </c>
      <c r="S411" s="2" cm="1">
        <f t="array" ref="S41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11" s="2" t="str">
        <f>IF(Table1[[#This Row],[New_DoJ]] &gt;= EDATE( MAX(Table1[New_DoJ]), -24), "Yes", "No")</f>
        <v>No</v>
      </c>
    </row>
    <row r="412" spans="1:20" x14ac:dyDescent="0.3">
      <c r="A412" s="4">
        <v>10247</v>
      </c>
      <c r="B412" s="5" t="s">
        <v>1072</v>
      </c>
      <c r="C412" s="5" t="s">
        <v>1073</v>
      </c>
      <c r="D412" s="5" t="s">
        <v>1074</v>
      </c>
      <c r="E412" s="5" t="s">
        <v>33</v>
      </c>
      <c r="F412" s="15">
        <v>33830</v>
      </c>
      <c r="G412" s="5">
        <v>8</v>
      </c>
      <c r="H412" s="5" t="s">
        <v>29</v>
      </c>
      <c r="I412" s="5">
        <v>0</v>
      </c>
      <c r="J412" s="5" t="s">
        <v>24</v>
      </c>
      <c r="K412" s="12">
        <v>40000</v>
      </c>
      <c r="L412" s="5" t="s">
        <v>25</v>
      </c>
      <c r="M412" s="6" t="s">
        <v>20</v>
      </c>
      <c r="N412" s="15">
        <v>23558</v>
      </c>
      <c r="O412" s="15">
        <v>33830</v>
      </c>
      <c r="P412" s="5"/>
      <c r="Q412" s="2" t="str">
        <f>INDEX(Table3[#All], MATCH(Table1[[#This Row],[Dept_Id]], Table3[[#All],[Dept_Id]], 0), 1)</f>
        <v>Production</v>
      </c>
      <c r="R412" s="22" t="str">
        <f>IF(Table1[[#This Row],[Left?]] = 1, (Table1[[#This Row],[New_Last_Date]]-Table1[[#This Row],[New_DoJ]])/365.25, "")</f>
        <v/>
      </c>
      <c r="S412" s="2" cm="1">
        <f t="array" ref="S41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12" s="2" t="str">
        <f>IF(Table1[[#This Row],[New_DoJ]] &gt;= EDATE( MAX(Table1[New_DoJ]), -24), "Yes", "No")</f>
        <v>No</v>
      </c>
    </row>
    <row r="413" spans="1:20" x14ac:dyDescent="0.3">
      <c r="A413" s="4">
        <v>439788</v>
      </c>
      <c r="B413" s="5" t="s">
        <v>1075</v>
      </c>
      <c r="C413" s="5" t="s">
        <v>1076</v>
      </c>
      <c r="D413" s="5" t="s">
        <v>1077</v>
      </c>
      <c r="E413" s="5" t="s">
        <v>33</v>
      </c>
      <c r="F413" s="15">
        <v>31634</v>
      </c>
      <c r="G413" s="5">
        <v>1</v>
      </c>
      <c r="H413" s="5" t="s">
        <v>29</v>
      </c>
      <c r="I413" s="5">
        <v>0</v>
      </c>
      <c r="J413" s="5" t="s">
        <v>24</v>
      </c>
      <c r="K413" s="12">
        <v>40000</v>
      </c>
      <c r="L413" s="5" t="s">
        <v>19</v>
      </c>
      <c r="M413" s="6" t="s">
        <v>50</v>
      </c>
      <c r="N413" s="15">
        <v>21319</v>
      </c>
      <c r="O413" s="15">
        <v>31634</v>
      </c>
      <c r="P413" s="5"/>
      <c r="Q413" s="2" t="str">
        <f>INDEX(Table3[#All], MATCH(Table1[[#This Row],[Dept_Id]], Table3[[#All],[Dept_Id]], 0), 1)</f>
        <v>Development</v>
      </c>
      <c r="R413" s="22" t="str">
        <f>IF(Table1[[#This Row],[Left?]] = 1, (Table1[[#This Row],[New_Last_Date]]-Table1[[#This Row],[New_DoJ]])/365.25, "")</f>
        <v/>
      </c>
      <c r="S413" s="2" cm="1">
        <f t="array" ref="S41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13" s="2" t="str">
        <f>IF(Table1[[#This Row],[New_DoJ]] &gt;= EDATE( MAX(Table1[New_DoJ]), -24), "Yes", "No")</f>
        <v>No</v>
      </c>
    </row>
    <row r="414" spans="1:20" x14ac:dyDescent="0.3">
      <c r="A414" s="4">
        <v>439788</v>
      </c>
      <c r="B414" s="5" t="s">
        <v>1075</v>
      </c>
      <c r="C414" s="5" t="s">
        <v>1076</v>
      </c>
      <c r="D414" s="5" t="s">
        <v>1077</v>
      </c>
      <c r="E414" s="5" t="s">
        <v>33</v>
      </c>
      <c r="F414" s="15">
        <v>31634</v>
      </c>
      <c r="G414" s="5">
        <v>1</v>
      </c>
      <c r="H414" s="5" t="s">
        <v>29</v>
      </c>
      <c r="I414" s="5">
        <v>0</v>
      </c>
      <c r="J414" s="5" t="s">
        <v>24</v>
      </c>
      <c r="K414" s="12">
        <v>40000</v>
      </c>
      <c r="L414" s="5" t="s">
        <v>55</v>
      </c>
      <c r="M414" s="6" t="s">
        <v>50</v>
      </c>
      <c r="N414" s="15">
        <v>21319</v>
      </c>
      <c r="O414" s="15">
        <v>31634</v>
      </c>
      <c r="P414" s="5"/>
      <c r="Q414" s="2" t="str">
        <f>INDEX(Table3[#All], MATCH(Table1[[#This Row],[Dept_Id]], Table3[[#All],[Dept_Id]], 0), 1)</f>
        <v>Research</v>
      </c>
      <c r="R414" s="22" t="str">
        <f>IF(Table1[[#This Row],[Left?]] = 1, (Table1[[#This Row],[New_Last_Date]]-Table1[[#This Row],[New_DoJ]])/365.25, "")</f>
        <v/>
      </c>
      <c r="S414" s="2" cm="1">
        <f t="array" ref="S41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14" s="2" t="str">
        <f>IF(Table1[[#This Row],[New_DoJ]] &gt;= EDATE( MAX(Table1[New_DoJ]), -24), "Yes", "No")</f>
        <v>No</v>
      </c>
    </row>
    <row r="415" spans="1:20" x14ac:dyDescent="0.3">
      <c r="A415" s="4">
        <v>10248</v>
      </c>
      <c r="B415" s="5" t="s">
        <v>1078</v>
      </c>
      <c r="C415" s="5" t="s">
        <v>1079</v>
      </c>
      <c r="D415" s="5" t="s">
        <v>159</v>
      </c>
      <c r="E415" s="5" t="s">
        <v>33</v>
      </c>
      <c r="F415" s="15">
        <v>33463</v>
      </c>
      <c r="G415" s="5">
        <v>8</v>
      </c>
      <c r="H415" s="5" t="s">
        <v>29</v>
      </c>
      <c r="I415" s="5">
        <v>0</v>
      </c>
      <c r="J415" s="5" t="s">
        <v>24</v>
      </c>
      <c r="K415" s="12">
        <v>58918</v>
      </c>
      <c r="L415" s="5" t="s">
        <v>38</v>
      </c>
      <c r="M415" s="6" t="s">
        <v>39</v>
      </c>
      <c r="N415" s="15">
        <v>20356</v>
      </c>
      <c r="O415" s="15">
        <v>33463</v>
      </c>
      <c r="P415" s="5"/>
      <c r="Q415" s="2" t="str">
        <f>INDEX(Table3[#All], MATCH(Table1[[#This Row],[Dept_Id]], Table3[[#All],[Dept_Id]], 0), 1)</f>
        <v>Sales</v>
      </c>
      <c r="R415" s="22" t="str">
        <f>IF(Table1[[#This Row],[Left?]] = 1, (Table1[[#This Row],[New_Last_Date]]-Table1[[#This Row],[New_DoJ]])/365.25, "")</f>
        <v/>
      </c>
      <c r="S415" s="2" cm="1">
        <f t="array" ref="S41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15" s="2" t="str">
        <f>IF(Table1[[#This Row],[New_DoJ]] &gt;= EDATE( MAX(Table1[New_DoJ]), -24), "Yes", "No")</f>
        <v>No</v>
      </c>
    </row>
    <row r="416" spans="1:20" x14ac:dyDescent="0.3">
      <c r="A416" s="4">
        <v>10249</v>
      </c>
      <c r="B416" s="5" t="s">
        <v>1080</v>
      </c>
      <c r="C416" s="5" t="s">
        <v>1081</v>
      </c>
      <c r="D416" s="5" t="s">
        <v>1082</v>
      </c>
      <c r="E416" s="5" t="s">
        <v>16</v>
      </c>
      <c r="F416" s="15">
        <v>33580</v>
      </c>
      <c r="G416" s="5">
        <v>5</v>
      </c>
      <c r="H416" s="5" t="s">
        <v>29</v>
      </c>
      <c r="I416" s="5">
        <v>0</v>
      </c>
      <c r="J416" s="5" t="s">
        <v>24</v>
      </c>
      <c r="K416" s="12">
        <v>72192</v>
      </c>
      <c r="L416" s="5" t="s">
        <v>19</v>
      </c>
      <c r="M416" s="6" t="s">
        <v>20</v>
      </c>
      <c r="N416" s="15">
        <v>19885</v>
      </c>
      <c r="O416" s="15">
        <v>33580</v>
      </c>
      <c r="P416" s="5"/>
      <c r="Q416" s="2" t="str">
        <f>INDEX(Table3[#All], MATCH(Table1[[#This Row],[Dept_Id]], Table3[[#All],[Dept_Id]], 0), 1)</f>
        <v>Development</v>
      </c>
      <c r="R416" s="22" t="str">
        <f>IF(Table1[[#This Row],[Left?]] = 1, (Table1[[#This Row],[New_Last_Date]]-Table1[[#This Row],[New_DoJ]])/365.25, "")</f>
        <v/>
      </c>
      <c r="S416" s="2" cm="1">
        <f t="array" ref="S41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16" s="2" t="str">
        <f>IF(Table1[[#This Row],[New_DoJ]] &gt;= EDATE( MAX(Table1[New_DoJ]), -24), "Yes", "No")</f>
        <v>No</v>
      </c>
    </row>
    <row r="417" spans="1:20" x14ac:dyDescent="0.3">
      <c r="A417" s="4">
        <v>10249</v>
      </c>
      <c r="B417" s="5" t="s">
        <v>1080</v>
      </c>
      <c r="C417" s="5" t="s">
        <v>1081</v>
      </c>
      <c r="D417" s="5" t="s">
        <v>1082</v>
      </c>
      <c r="E417" s="5" t="s">
        <v>16</v>
      </c>
      <c r="F417" s="15">
        <v>33580</v>
      </c>
      <c r="G417" s="5">
        <v>5</v>
      </c>
      <c r="H417" s="5" t="s">
        <v>29</v>
      </c>
      <c r="I417" s="5">
        <v>0</v>
      </c>
      <c r="J417" s="5" t="s">
        <v>24</v>
      </c>
      <c r="K417" s="12">
        <v>72192</v>
      </c>
      <c r="L417" s="5" t="s">
        <v>55</v>
      </c>
      <c r="M417" s="6" t="s">
        <v>20</v>
      </c>
      <c r="N417" s="15">
        <v>19885</v>
      </c>
      <c r="O417" s="15">
        <v>33580</v>
      </c>
      <c r="P417" s="5"/>
      <c r="Q417" s="2" t="str">
        <f>INDEX(Table3[#All], MATCH(Table1[[#This Row],[Dept_Id]], Table3[[#All],[Dept_Id]], 0), 1)</f>
        <v>Research</v>
      </c>
      <c r="R417" s="22" t="str">
        <f>IF(Table1[[#This Row],[Left?]] = 1, (Table1[[#This Row],[New_Last_Date]]-Table1[[#This Row],[New_DoJ]])/365.25, "")</f>
        <v/>
      </c>
      <c r="S417" s="2" cm="1">
        <f t="array" ref="S41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17" s="2" t="str">
        <f>IF(Table1[[#This Row],[New_DoJ]] &gt;= EDATE( MAX(Table1[New_DoJ]), -24), "Yes", "No")</f>
        <v>No</v>
      </c>
    </row>
    <row r="418" spans="1:20" x14ac:dyDescent="0.3">
      <c r="A418" s="4">
        <v>431759</v>
      </c>
      <c r="B418" s="5" t="s">
        <v>1083</v>
      </c>
      <c r="C418" s="5" t="s">
        <v>912</v>
      </c>
      <c r="D418" s="5" t="s">
        <v>571</v>
      </c>
      <c r="E418" s="5" t="s">
        <v>16</v>
      </c>
      <c r="F418" s="15">
        <v>32086</v>
      </c>
      <c r="G418" s="5">
        <v>6</v>
      </c>
      <c r="H418" s="5" t="s">
        <v>29</v>
      </c>
      <c r="I418" s="5">
        <v>0</v>
      </c>
      <c r="J418" s="5" t="s">
        <v>24</v>
      </c>
      <c r="K418" s="12">
        <v>44859</v>
      </c>
      <c r="L418" s="5" t="s">
        <v>25</v>
      </c>
      <c r="M418" s="6" t="s">
        <v>50</v>
      </c>
      <c r="N418" s="15">
        <v>23774</v>
      </c>
      <c r="O418" s="15">
        <v>32086</v>
      </c>
      <c r="P418" s="5"/>
      <c r="Q418" s="2" t="str">
        <f>INDEX(Table3[#All], MATCH(Table1[[#This Row],[Dept_Id]], Table3[[#All],[Dept_Id]], 0), 1)</f>
        <v>Production</v>
      </c>
      <c r="R418" s="22" t="str">
        <f>IF(Table1[[#This Row],[Left?]] = 1, (Table1[[#This Row],[New_Last_Date]]-Table1[[#This Row],[New_DoJ]])/365.25, "")</f>
        <v/>
      </c>
      <c r="S418" s="2" cm="1">
        <f t="array" ref="S41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18" s="2" t="str">
        <f>IF(Table1[[#This Row],[New_DoJ]] &gt;= EDATE( MAX(Table1[New_DoJ]), -24), "Yes", "No")</f>
        <v>No</v>
      </c>
    </row>
    <row r="419" spans="1:20" x14ac:dyDescent="0.3">
      <c r="A419" s="4">
        <v>431759</v>
      </c>
      <c r="B419" s="5" t="s">
        <v>1083</v>
      </c>
      <c r="C419" s="5" t="s">
        <v>912</v>
      </c>
      <c r="D419" s="5" t="s">
        <v>571</v>
      </c>
      <c r="E419" s="5" t="s">
        <v>16</v>
      </c>
      <c r="F419" s="15">
        <v>32086</v>
      </c>
      <c r="G419" s="5">
        <v>6</v>
      </c>
      <c r="H419" s="5" t="s">
        <v>29</v>
      </c>
      <c r="I419" s="5">
        <v>0</v>
      </c>
      <c r="J419" s="5" t="s">
        <v>24</v>
      </c>
      <c r="K419" s="12">
        <v>44859</v>
      </c>
      <c r="L419" s="5" t="s">
        <v>63</v>
      </c>
      <c r="M419" s="6" t="s">
        <v>50</v>
      </c>
      <c r="N419" s="15">
        <v>23774</v>
      </c>
      <c r="O419" s="15">
        <v>32086</v>
      </c>
      <c r="P419" s="5"/>
      <c r="Q419" s="2" t="str">
        <f>INDEX(Table3[#All], MATCH(Table1[[#This Row],[Dept_Id]], Table3[[#All],[Dept_Id]], 0), 1)</f>
        <v>Quality Management</v>
      </c>
      <c r="R419" s="22" t="str">
        <f>IF(Table1[[#This Row],[Left?]] = 1, (Table1[[#This Row],[New_Last_Date]]-Table1[[#This Row],[New_DoJ]])/365.25, "")</f>
        <v/>
      </c>
      <c r="S419" s="2" cm="1">
        <f t="array" ref="S41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19" s="2" t="str">
        <f>IF(Table1[[#This Row],[New_DoJ]] &gt;= EDATE( MAX(Table1[New_DoJ]), -24), "Yes", "No")</f>
        <v>No</v>
      </c>
    </row>
    <row r="420" spans="1:20" x14ac:dyDescent="0.3">
      <c r="A420" s="4">
        <v>10250</v>
      </c>
      <c r="B420" s="5" t="s">
        <v>1084</v>
      </c>
      <c r="C420" s="5" t="s">
        <v>1085</v>
      </c>
      <c r="D420" s="5" t="s">
        <v>1086</v>
      </c>
      <c r="E420" s="5" t="s">
        <v>16</v>
      </c>
      <c r="F420" s="15">
        <v>33846</v>
      </c>
      <c r="G420" s="5">
        <v>7</v>
      </c>
      <c r="H420" s="5" t="s">
        <v>29</v>
      </c>
      <c r="I420" s="5">
        <v>0</v>
      </c>
      <c r="J420" s="5" t="s">
        <v>24</v>
      </c>
      <c r="K420" s="12">
        <v>50330</v>
      </c>
      <c r="L420" s="5" t="s">
        <v>63</v>
      </c>
      <c r="M420" s="6" t="s">
        <v>20</v>
      </c>
      <c r="N420" s="15">
        <v>21409</v>
      </c>
      <c r="O420" s="15">
        <v>33846</v>
      </c>
      <c r="P420" s="5"/>
      <c r="Q420" s="2" t="str">
        <f>INDEX(Table3[#All], MATCH(Table1[[#This Row],[Dept_Id]], Table3[[#All],[Dept_Id]], 0), 1)</f>
        <v>Quality Management</v>
      </c>
      <c r="R420" s="22" t="str">
        <f>IF(Table1[[#This Row],[Left?]] = 1, (Table1[[#This Row],[New_Last_Date]]-Table1[[#This Row],[New_DoJ]])/365.25, "")</f>
        <v/>
      </c>
      <c r="S420" s="2" cm="1">
        <f t="array" ref="S42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20" s="2" t="str">
        <f>IF(Table1[[#This Row],[New_DoJ]] &gt;= EDATE( MAX(Table1[New_DoJ]), -24), "Yes", "No")</f>
        <v>No</v>
      </c>
    </row>
    <row r="421" spans="1:20" x14ac:dyDescent="0.3">
      <c r="A421" s="4">
        <v>426193</v>
      </c>
      <c r="B421" s="5" t="s">
        <v>1087</v>
      </c>
      <c r="C421" s="5" t="s">
        <v>1088</v>
      </c>
      <c r="D421" s="5" t="s">
        <v>1089</v>
      </c>
      <c r="E421" s="5" t="s">
        <v>16</v>
      </c>
      <c r="F421" s="15">
        <v>31129</v>
      </c>
      <c r="G421" s="5">
        <v>7</v>
      </c>
      <c r="H421" s="5" t="s">
        <v>29</v>
      </c>
      <c r="I421" s="5">
        <v>1</v>
      </c>
      <c r="J421" s="5" t="s">
        <v>1090</v>
      </c>
      <c r="K421" s="12">
        <v>75063</v>
      </c>
      <c r="L421" s="5" t="s">
        <v>38</v>
      </c>
      <c r="M421" s="6" t="s">
        <v>39</v>
      </c>
      <c r="N421" s="15">
        <v>19765</v>
      </c>
      <c r="O421" s="15">
        <v>31129</v>
      </c>
      <c r="P421" s="15">
        <v>32008</v>
      </c>
      <c r="Q421" s="2" t="str">
        <f>INDEX(Table3[#All], MATCH(Table1[[#This Row],[Dept_Id]], Table3[[#All],[Dept_Id]], 0), 1)</f>
        <v>Sales</v>
      </c>
      <c r="R421" s="22">
        <f>IF(Table1[[#This Row],[Left?]] = 1, (Table1[[#This Row],[New_Last_Date]]-Table1[[#This Row],[New_DoJ]])/365.25, "")</f>
        <v>2.406570841889117</v>
      </c>
      <c r="S421" s="2" cm="1">
        <f t="array" ref="S42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21" s="2" t="str">
        <f>IF(Table1[[#This Row],[New_DoJ]] &gt;= EDATE( MAX(Table1[New_DoJ]), -24), "Yes", "No")</f>
        <v>No</v>
      </c>
    </row>
    <row r="422" spans="1:20" x14ac:dyDescent="0.3">
      <c r="A422" s="4">
        <v>10251</v>
      </c>
      <c r="B422" s="5" t="s">
        <v>1091</v>
      </c>
      <c r="C422" s="5" t="s">
        <v>1092</v>
      </c>
      <c r="D422" s="5" t="s">
        <v>239</v>
      </c>
      <c r="E422" s="5" t="s">
        <v>16</v>
      </c>
      <c r="F422" s="15">
        <v>33780</v>
      </c>
      <c r="G422" s="5">
        <v>2</v>
      </c>
      <c r="H422" s="5" t="s">
        <v>29</v>
      </c>
      <c r="I422" s="5">
        <v>0</v>
      </c>
      <c r="J422" s="5" t="s">
        <v>24</v>
      </c>
      <c r="K422" s="12">
        <v>61743</v>
      </c>
      <c r="L422" s="5" t="s">
        <v>55</v>
      </c>
      <c r="M422" s="6" t="s">
        <v>39</v>
      </c>
      <c r="N422" s="15">
        <v>20935</v>
      </c>
      <c r="O422" s="15">
        <v>33780</v>
      </c>
      <c r="P422" s="5"/>
      <c r="Q422" s="2" t="str">
        <f>INDEX(Table3[#All], MATCH(Table1[[#This Row],[Dept_Id]], Table3[[#All],[Dept_Id]], 0), 1)</f>
        <v>Research</v>
      </c>
      <c r="R422" s="22" t="str">
        <f>IF(Table1[[#This Row],[Left?]] = 1, (Table1[[#This Row],[New_Last_Date]]-Table1[[#This Row],[New_DoJ]])/365.25, "")</f>
        <v/>
      </c>
      <c r="S422" s="2" cm="1">
        <f t="array" ref="S42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22" s="2" t="str">
        <f>IF(Table1[[#This Row],[New_DoJ]] &gt;= EDATE( MAX(Table1[New_DoJ]), -24), "Yes", "No")</f>
        <v>No</v>
      </c>
    </row>
    <row r="423" spans="1:20" x14ac:dyDescent="0.3">
      <c r="A423" s="4">
        <v>10252</v>
      </c>
      <c r="B423" s="5" t="s">
        <v>1093</v>
      </c>
      <c r="C423" s="5" t="s">
        <v>1094</v>
      </c>
      <c r="D423" s="5" t="s">
        <v>1095</v>
      </c>
      <c r="E423" s="5" t="s">
        <v>33</v>
      </c>
      <c r="F423" s="15">
        <v>33185</v>
      </c>
      <c r="G423" s="5">
        <v>4</v>
      </c>
      <c r="H423" s="5" t="s">
        <v>29</v>
      </c>
      <c r="I423" s="5">
        <v>0</v>
      </c>
      <c r="J423" s="5" t="s">
        <v>24</v>
      </c>
      <c r="K423" s="12">
        <v>40000</v>
      </c>
      <c r="L423" s="5" t="s">
        <v>25</v>
      </c>
      <c r="M423" s="6" t="s">
        <v>20</v>
      </c>
      <c r="N423" s="15">
        <v>22311</v>
      </c>
      <c r="O423" s="15">
        <v>33185</v>
      </c>
      <c r="P423" s="5"/>
      <c r="Q423" s="2" t="str">
        <f>INDEX(Table3[#All], MATCH(Table1[[#This Row],[Dept_Id]], Table3[[#All],[Dept_Id]], 0), 1)</f>
        <v>Production</v>
      </c>
      <c r="R423" s="22" t="str">
        <f>IF(Table1[[#This Row],[Left?]] = 1, (Table1[[#This Row],[New_Last_Date]]-Table1[[#This Row],[New_DoJ]])/365.25, "")</f>
        <v/>
      </c>
      <c r="S423" s="2" cm="1">
        <f t="array" ref="S42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23" s="2" t="str">
        <f>IF(Table1[[#This Row],[New_DoJ]] &gt;= EDATE( MAX(Table1[New_DoJ]), -24), "Yes", "No")</f>
        <v>No</v>
      </c>
    </row>
    <row r="424" spans="1:20" x14ac:dyDescent="0.3">
      <c r="A424" s="4">
        <v>416364</v>
      </c>
      <c r="B424" s="5" t="s">
        <v>503</v>
      </c>
      <c r="C424" s="5" t="s">
        <v>640</v>
      </c>
      <c r="D424" s="5" t="s">
        <v>1096</v>
      </c>
      <c r="E424" s="5" t="s">
        <v>16</v>
      </c>
      <c r="F424" s="15">
        <v>32838</v>
      </c>
      <c r="G424" s="5">
        <v>1</v>
      </c>
      <c r="H424" s="5" t="s">
        <v>34</v>
      </c>
      <c r="I424" s="5">
        <v>0</v>
      </c>
      <c r="J424" s="5" t="s">
        <v>24</v>
      </c>
      <c r="K424" s="12">
        <v>64980</v>
      </c>
      <c r="L424" s="5" t="s">
        <v>25</v>
      </c>
      <c r="M424" s="6" t="s">
        <v>20</v>
      </c>
      <c r="N424" s="15">
        <v>22682</v>
      </c>
      <c r="O424" s="15">
        <v>32838</v>
      </c>
      <c r="P424" s="5"/>
      <c r="Q424" s="2" t="str">
        <f>INDEX(Table3[#All], MATCH(Table1[[#This Row],[Dept_Id]], Table3[[#All],[Dept_Id]], 0), 1)</f>
        <v>Production</v>
      </c>
      <c r="R424" s="22" t="str">
        <f>IF(Table1[[#This Row],[Left?]] = 1, (Table1[[#This Row],[New_Last_Date]]-Table1[[#This Row],[New_DoJ]])/365.25, "")</f>
        <v/>
      </c>
      <c r="S424" s="2" cm="1">
        <f t="array" ref="S42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24" s="2" t="str">
        <f>IF(Table1[[#This Row],[New_DoJ]] &gt;= EDATE( MAX(Table1[New_DoJ]), -24), "Yes", "No")</f>
        <v>No</v>
      </c>
    </row>
    <row r="425" spans="1:20" x14ac:dyDescent="0.3">
      <c r="A425" s="4">
        <v>416364</v>
      </c>
      <c r="B425" s="5" t="s">
        <v>503</v>
      </c>
      <c r="C425" s="5" t="s">
        <v>640</v>
      </c>
      <c r="D425" s="5" t="s">
        <v>1096</v>
      </c>
      <c r="E425" s="5" t="s">
        <v>16</v>
      </c>
      <c r="F425" s="15">
        <v>32838</v>
      </c>
      <c r="G425" s="5">
        <v>1</v>
      </c>
      <c r="H425" s="5" t="s">
        <v>34</v>
      </c>
      <c r="I425" s="5">
        <v>0</v>
      </c>
      <c r="J425" s="5" t="s">
        <v>24</v>
      </c>
      <c r="K425" s="12">
        <v>64980</v>
      </c>
      <c r="L425" s="5" t="s">
        <v>19</v>
      </c>
      <c r="M425" s="6" t="s">
        <v>20</v>
      </c>
      <c r="N425" s="15">
        <v>22682</v>
      </c>
      <c r="O425" s="15">
        <v>32838</v>
      </c>
      <c r="P425" s="5"/>
      <c r="Q425" s="2" t="str">
        <f>INDEX(Table3[#All], MATCH(Table1[[#This Row],[Dept_Id]], Table3[[#All],[Dept_Id]], 0), 1)</f>
        <v>Development</v>
      </c>
      <c r="R425" s="22" t="str">
        <f>IF(Table1[[#This Row],[Left?]] = 1, (Table1[[#This Row],[New_Last_Date]]-Table1[[#This Row],[New_DoJ]])/365.25, "")</f>
        <v/>
      </c>
      <c r="S425" s="2" cm="1">
        <f t="array" ref="S42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25" s="2" t="str">
        <f>IF(Table1[[#This Row],[New_DoJ]] &gt;= EDATE( MAX(Table1[New_DoJ]), -24), "Yes", "No")</f>
        <v>No</v>
      </c>
    </row>
    <row r="426" spans="1:20" x14ac:dyDescent="0.3">
      <c r="A426" s="4">
        <v>10253</v>
      </c>
      <c r="B426" s="5" t="s">
        <v>1097</v>
      </c>
      <c r="C426" s="5" t="s">
        <v>1098</v>
      </c>
      <c r="D426" s="5" t="s">
        <v>1099</v>
      </c>
      <c r="E426" s="5" t="s">
        <v>33</v>
      </c>
      <c r="F426" s="15">
        <v>31099</v>
      </c>
      <c r="G426" s="5">
        <v>9</v>
      </c>
      <c r="H426" s="5" t="s">
        <v>291</v>
      </c>
      <c r="I426" s="5">
        <v>1</v>
      </c>
      <c r="J426" s="5" t="s">
        <v>1100</v>
      </c>
      <c r="K426" s="12">
        <v>62494</v>
      </c>
      <c r="L426" s="5" t="s">
        <v>38</v>
      </c>
      <c r="M426" s="6" t="s">
        <v>39</v>
      </c>
      <c r="N426" s="15">
        <v>23693</v>
      </c>
      <c r="O426" s="15">
        <v>31099</v>
      </c>
      <c r="P426" s="15">
        <v>32430</v>
      </c>
      <c r="Q426" s="2" t="str">
        <f>INDEX(Table3[#All], MATCH(Table1[[#This Row],[Dept_Id]], Table3[[#All],[Dept_Id]], 0), 1)</f>
        <v>Sales</v>
      </c>
      <c r="R426" s="22">
        <f>IF(Table1[[#This Row],[Left?]] = 1, (Table1[[#This Row],[New_Last_Date]]-Table1[[#This Row],[New_DoJ]])/365.25, "")</f>
        <v>3.6440793976728267</v>
      </c>
      <c r="S426" s="2" cm="1">
        <f t="array" ref="S42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5</v>
      </c>
      <c r="T426" s="2" t="str">
        <f>IF(Table1[[#This Row],[New_DoJ]] &gt;= EDATE( MAX(Table1[New_DoJ]), -24), "Yes", "No")</f>
        <v>No</v>
      </c>
    </row>
    <row r="427" spans="1:20" x14ac:dyDescent="0.3">
      <c r="A427" s="4">
        <v>10254</v>
      </c>
      <c r="B427" s="5" t="s">
        <v>710</v>
      </c>
      <c r="C427" s="5" t="s">
        <v>1101</v>
      </c>
      <c r="D427" s="5" t="s">
        <v>339</v>
      </c>
      <c r="E427" s="5" t="s">
        <v>16</v>
      </c>
      <c r="F427" s="15">
        <v>33038</v>
      </c>
      <c r="G427" s="5">
        <v>5</v>
      </c>
      <c r="H427" s="5" t="s">
        <v>17</v>
      </c>
      <c r="I427" s="5">
        <v>1</v>
      </c>
      <c r="J427" s="5" t="s">
        <v>1102</v>
      </c>
      <c r="K427" s="12">
        <v>60222</v>
      </c>
      <c r="L427" s="5" t="s">
        <v>38</v>
      </c>
      <c r="M427" s="6" t="s">
        <v>39</v>
      </c>
      <c r="N427" s="15">
        <v>21891</v>
      </c>
      <c r="O427" s="15">
        <v>33038</v>
      </c>
      <c r="P427" s="15">
        <v>37794</v>
      </c>
      <c r="Q427" s="2" t="str">
        <f>INDEX(Table3[#All], MATCH(Table1[[#This Row],[Dept_Id]], Table3[[#All],[Dept_Id]], 0), 1)</f>
        <v>Sales</v>
      </c>
      <c r="R427" s="22">
        <f>IF(Table1[[#This Row],[Left?]] = 1, (Table1[[#This Row],[New_Last_Date]]-Table1[[#This Row],[New_DoJ]])/365.25, "")</f>
        <v>13.021218343600275</v>
      </c>
      <c r="S427" s="2" cm="1">
        <f t="array" ref="S42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27" s="2" t="str">
        <f>IF(Table1[[#This Row],[New_DoJ]] &gt;= EDATE( MAX(Table1[New_DoJ]), -24), "Yes", "No")</f>
        <v>No</v>
      </c>
    </row>
    <row r="428" spans="1:20" x14ac:dyDescent="0.3">
      <c r="A428" s="4">
        <v>207791</v>
      </c>
      <c r="B428" s="5" t="s">
        <v>1103</v>
      </c>
      <c r="C428" s="5" t="s">
        <v>1104</v>
      </c>
      <c r="D428" s="5" t="s">
        <v>1105</v>
      </c>
      <c r="E428" s="5" t="s">
        <v>16</v>
      </c>
      <c r="F428" s="15">
        <v>32375</v>
      </c>
      <c r="G428" s="5">
        <v>3</v>
      </c>
      <c r="H428" s="5" t="s">
        <v>29</v>
      </c>
      <c r="I428" s="5">
        <v>0</v>
      </c>
      <c r="J428" s="5" t="s">
        <v>24</v>
      </c>
      <c r="K428" s="12">
        <v>43645</v>
      </c>
      <c r="L428" s="5" t="s">
        <v>19</v>
      </c>
      <c r="M428" s="6" t="s">
        <v>50</v>
      </c>
      <c r="N428" s="15">
        <v>21062</v>
      </c>
      <c r="O428" s="15">
        <v>32375</v>
      </c>
      <c r="P428" s="5"/>
      <c r="Q428" s="2" t="str">
        <f>INDEX(Table3[#All], MATCH(Table1[[#This Row],[Dept_Id]], Table3[[#All],[Dept_Id]], 0), 1)</f>
        <v>Development</v>
      </c>
      <c r="R428" s="22" t="str">
        <f>IF(Table1[[#This Row],[Left?]] = 1, (Table1[[#This Row],[New_Last_Date]]-Table1[[#This Row],[New_DoJ]])/365.25, "")</f>
        <v/>
      </c>
      <c r="S428" s="2" cm="1">
        <f t="array" ref="S42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28" s="2" t="str">
        <f>IF(Table1[[#This Row],[New_DoJ]] &gt;= EDATE( MAX(Table1[New_DoJ]), -24), "Yes", "No")</f>
        <v>No</v>
      </c>
    </row>
    <row r="429" spans="1:20" x14ac:dyDescent="0.3">
      <c r="A429" s="4">
        <v>10255</v>
      </c>
      <c r="B429" s="5" t="s">
        <v>1106</v>
      </c>
      <c r="C429" s="5" t="s">
        <v>185</v>
      </c>
      <c r="D429" s="5" t="s">
        <v>1107</v>
      </c>
      <c r="E429" s="5" t="s">
        <v>16</v>
      </c>
      <c r="F429" s="15">
        <v>34101</v>
      </c>
      <c r="G429" s="5">
        <v>9</v>
      </c>
      <c r="H429" s="5" t="s">
        <v>29</v>
      </c>
      <c r="I429" s="5">
        <v>0</v>
      </c>
      <c r="J429" s="5" t="s">
        <v>24</v>
      </c>
      <c r="K429" s="12">
        <v>63822</v>
      </c>
      <c r="L429" s="5" t="s">
        <v>25</v>
      </c>
      <c r="M429" s="6" t="s">
        <v>20</v>
      </c>
      <c r="N429" s="15">
        <v>23415</v>
      </c>
      <c r="O429" s="15">
        <v>34101</v>
      </c>
      <c r="P429" s="5"/>
      <c r="Q429" s="2" t="str">
        <f>INDEX(Table3[#All], MATCH(Table1[[#This Row],[Dept_Id]], Table3[[#All],[Dept_Id]], 0), 1)</f>
        <v>Production</v>
      </c>
      <c r="R429" s="22" t="str">
        <f>IF(Table1[[#This Row],[Left?]] = 1, (Table1[[#This Row],[New_Last_Date]]-Table1[[#This Row],[New_DoJ]])/365.25, "")</f>
        <v/>
      </c>
      <c r="S429" s="2" cm="1">
        <f t="array" ref="S42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29" s="2" t="str">
        <f>IF(Table1[[#This Row],[New_DoJ]] &gt;= EDATE( MAX(Table1[New_DoJ]), -24), "Yes", "No")</f>
        <v>No</v>
      </c>
    </row>
    <row r="430" spans="1:20" x14ac:dyDescent="0.3">
      <c r="A430" s="4">
        <v>10256</v>
      </c>
      <c r="B430" s="5" t="s">
        <v>1108</v>
      </c>
      <c r="C430" s="5" t="s">
        <v>1076</v>
      </c>
      <c r="D430" s="5" t="s">
        <v>1109</v>
      </c>
      <c r="E430" s="5" t="s">
        <v>16</v>
      </c>
      <c r="F430" s="15">
        <v>31332</v>
      </c>
      <c r="G430" s="5">
        <v>5</v>
      </c>
      <c r="H430" s="5" t="s">
        <v>17</v>
      </c>
      <c r="I430" s="5">
        <v>0</v>
      </c>
      <c r="J430" s="5" t="s">
        <v>24</v>
      </c>
      <c r="K430" s="12">
        <v>71305</v>
      </c>
      <c r="L430" s="5" t="s">
        <v>38</v>
      </c>
      <c r="M430" s="6" t="s">
        <v>39</v>
      </c>
      <c r="N430" s="15">
        <v>22252</v>
      </c>
      <c r="O430" s="15">
        <v>31332</v>
      </c>
      <c r="P430" s="5"/>
      <c r="Q430" s="2" t="str">
        <f>INDEX(Table3[#All], MATCH(Table1[[#This Row],[Dept_Id]], Table3[[#All],[Dept_Id]], 0), 1)</f>
        <v>Sales</v>
      </c>
      <c r="R430" s="22" t="str">
        <f>IF(Table1[[#This Row],[Left?]] = 1, (Table1[[#This Row],[New_Last_Date]]-Table1[[#This Row],[New_DoJ]])/365.25, "")</f>
        <v/>
      </c>
      <c r="S430" s="2" cm="1">
        <f t="array" ref="S43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30" s="2" t="str">
        <f>IF(Table1[[#This Row],[New_DoJ]] &gt;= EDATE( MAX(Table1[New_DoJ]), -24), "Yes", "No")</f>
        <v>No</v>
      </c>
    </row>
    <row r="431" spans="1:20" x14ac:dyDescent="0.3">
      <c r="A431" s="4">
        <v>277176</v>
      </c>
      <c r="B431" s="5" t="s">
        <v>1110</v>
      </c>
      <c r="C431" s="5" t="s">
        <v>41</v>
      </c>
      <c r="D431" s="5" t="s">
        <v>37</v>
      </c>
      <c r="E431" s="5" t="s">
        <v>16</v>
      </c>
      <c r="F431" s="15">
        <v>34686</v>
      </c>
      <c r="G431" s="5">
        <v>2</v>
      </c>
      <c r="H431" s="5" t="s">
        <v>29</v>
      </c>
      <c r="I431" s="5">
        <v>0</v>
      </c>
      <c r="J431" s="5" t="s">
        <v>24</v>
      </c>
      <c r="K431" s="12">
        <v>57027</v>
      </c>
      <c r="L431" s="5" t="s">
        <v>55</v>
      </c>
      <c r="M431" s="6" t="s">
        <v>39</v>
      </c>
      <c r="N431" s="15">
        <v>20643</v>
      </c>
      <c r="O431" s="15">
        <v>34686</v>
      </c>
      <c r="P431" s="5"/>
      <c r="Q431" s="2" t="str">
        <f>INDEX(Table3[#All], MATCH(Table1[[#This Row],[Dept_Id]], Table3[[#All],[Dept_Id]], 0), 1)</f>
        <v>Research</v>
      </c>
      <c r="R431" s="22" t="str">
        <f>IF(Table1[[#This Row],[Left?]] = 1, (Table1[[#This Row],[New_Last_Date]]-Table1[[#This Row],[New_DoJ]])/365.25, "")</f>
        <v/>
      </c>
      <c r="S431" s="2" cm="1">
        <f t="array" ref="S43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31" s="2" t="str">
        <f>IF(Table1[[#This Row],[New_DoJ]] &gt;= EDATE( MAX(Table1[New_DoJ]), -24), "Yes", "No")</f>
        <v>No</v>
      </c>
    </row>
    <row r="432" spans="1:20" x14ac:dyDescent="0.3">
      <c r="A432" s="4">
        <v>10257</v>
      </c>
      <c r="B432" s="5" t="s">
        <v>1111</v>
      </c>
      <c r="C432" s="5" t="s">
        <v>1112</v>
      </c>
      <c r="D432" s="5" t="s">
        <v>1113</v>
      </c>
      <c r="E432" s="5" t="s">
        <v>16</v>
      </c>
      <c r="F432" s="15">
        <v>31629</v>
      </c>
      <c r="G432" s="5">
        <v>3</v>
      </c>
      <c r="H432" s="5" t="s">
        <v>34</v>
      </c>
      <c r="I432" s="5">
        <v>0</v>
      </c>
      <c r="J432" s="5" t="s">
        <v>24</v>
      </c>
      <c r="K432" s="12">
        <v>40000</v>
      </c>
      <c r="L432" s="5" t="s">
        <v>25</v>
      </c>
      <c r="M432" s="6" t="s">
        <v>129</v>
      </c>
      <c r="N432" s="15">
        <v>21075</v>
      </c>
      <c r="O432" s="15">
        <v>31629</v>
      </c>
      <c r="P432" s="5"/>
      <c r="Q432" s="2" t="str">
        <f>INDEX(Table3[#All], MATCH(Table1[[#This Row],[Dept_Id]], Table3[[#All],[Dept_Id]], 0), 1)</f>
        <v>Production</v>
      </c>
      <c r="R432" s="22" t="str">
        <f>IF(Table1[[#This Row],[Left?]] = 1, (Table1[[#This Row],[New_Last_Date]]-Table1[[#This Row],[New_DoJ]])/365.25, "")</f>
        <v/>
      </c>
      <c r="S432" s="2" cm="1">
        <f t="array" ref="S43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32" s="2" t="str">
        <f>IF(Table1[[#This Row],[New_DoJ]] &gt;= EDATE( MAX(Table1[New_DoJ]), -24), "Yes", "No")</f>
        <v>No</v>
      </c>
    </row>
    <row r="433" spans="1:20" x14ac:dyDescent="0.3">
      <c r="A433" s="4">
        <v>10258</v>
      </c>
      <c r="B433" s="5" t="s">
        <v>1114</v>
      </c>
      <c r="C433" s="5" t="s">
        <v>254</v>
      </c>
      <c r="D433" s="5" t="s">
        <v>661</v>
      </c>
      <c r="E433" s="5" t="s">
        <v>33</v>
      </c>
      <c r="F433" s="15">
        <v>31184</v>
      </c>
      <c r="G433" s="5">
        <v>8</v>
      </c>
      <c r="H433" s="5" t="s">
        <v>34</v>
      </c>
      <c r="I433" s="5">
        <v>0</v>
      </c>
      <c r="J433" s="5" t="s">
        <v>24</v>
      </c>
      <c r="K433" s="12">
        <v>66280</v>
      </c>
      <c r="L433" s="5" t="s">
        <v>19</v>
      </c>
      <c r="M433" s="6" t="s">
        <v>20</v>
      </c>
      <c r="N433" s="15">
        <v>20435</v>
      </c>
      <c r="O433" s="15">
        <v>31184</v>
      </c>
      <c r="P433" s="5"/>
      <c r="Q433" s="2" t="str">
        <f>INDEX(Table3[#All], MATCH(Table1[[#This Row],[Dept_Id]], Table3[[#All],[Dept_Id]], 0), 1)</f>
        <v>Development</v>
      </c>
      <c r="R433" s="22" t="str">
        <f>IF(Table1[[#This Row],[Left?]] = 1, (Table1[[#This Row],[New_Last_Date]]-Table1[[#This Row],[New_DoJ]])/365.25, "")</f>
        <v/>
      </c>
      <c r="S433" s="2" cm="1">
        <f t="array" ref="S43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33" s="2" t="str">
        <f>IF(Table1[[#This Row],[New_DoJ]] &gt;= EDATE( MAX(Table1[New_DoJ]), -24), "Yes", "No")</f>
        <v>No</v>
      </c>
    </row>
    <row r="434" spans="1:20" x14ac:dyDescent="0.3">
      <c r="A434" s="4">
        <v>22638</v>
      </c>
      <c r="B434" s="5" t="s">
        <v>1115</v>
      </c>
      <c r="C434" s="5" t="s">
        <v>1116</v>
      </c>
      <c r="D434" s="5" t="s">
        <v>1117</v>
      </c>
      <c r="E434" s="5" t="s">
        <v>33</v>
      </c>
      <c r="F434" s="15">
        <v>32365</v>
      </c>
      <c r="G434" s="5">
        <v>9</v>
      </c>
      <c r="H434" s="5" t="s">
        <v>17</v>
      </c>
      <c r="I434" s="5">
        <v>0</v>
      </c>
      <c r="J434" s="5" t="s">
        <v>24</v>
      </c>
      <c r="K434" s="12">
        <v>68821</v>
      </c>
      <c r="L434" s="5" t="s">
        <v>19</v>
      </c>
      <c r="M434" s="6" t="s">
        <v>129</v>
      </c>
      <c r="N434" s="15">
        <v>23373</v>
      </c>
      <c r="O434" s="15">
        <v>32365</v>
      </c>
      <c r="P434" s="5"/>
      <c r="Q434" s="2" t="str">
        <f>INDEX(Table3[#All], MATCH(Table1[[#This Row],[Dept_Id]], Table3[[#All],[Dept_Id]], 0), 1)</f>
        <v>Development</v>
      </c>
      <c r="R434" s="22" t="str">
        <f>IF(Table1[[#This Row],[Left?]] = 1, (Table1[[#This Row],[New_Last_Date]]-Table1[[#This Row],[New_DoJ]])/365.25, "")</f>
        <v/>
      </c>
      <c r="S434" s="2" cm="1">
        <f t="array" ref="S43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34" s="2" t="str">
        <f>IF(Table1[[#This Row],[New_DoJ]] &gt;= EDATE( MAX(Table1[New_DoJ]), -24), "Yes", "No")</f>
        <v>No</v>
      </c>
    </row>
    <row r="435" spans="1:20" x14ac:dyDescent="0.3">
      <c r="A435" s="4">
        <v>10259</v>
      </c>
      <c r="B435" s="5" t="s">
        <v>1118</v>
      </c>
      <c r="C435" s="5" t="s">
        <v>1119</v>
      </c>
      <c r="D435" s="5" t="s">
        <v>1120</v>
      </c>
      <c r="E435" s="5" t="s">
        <v>16</v>
      </c>
      <c r="F435" s="15">
        <v>31588</v>
      </c>
      <c r="G435" s="5">
        <v>1</v>
      </c>
      <c r="H435" s="5" t="s">
        <v>29</v>
      </c>
      <c r="I435" s="5">
        <v>0</v>
      </c>
      <c r="J435" s="5" t="s">
        <v>24</v>
      </c>
      <c r="K435" s="12">
        <v>88991</v>
      </c>
      <c r="L435" s="5" t="s">
        <v>105</v>
      </c>
      <c r="M435" s="6" t="s">
        <v>39</v>
      </c>
      <c r="N435" s="15">
        <v>23705</v>
      </c>
      <c r="O435" s="15">
        <v>31588</v>
      </c>
      <c r="P435" s="5"/>
      <c r="Q435" s="2" t="str">
        <f>INDEX(Table3[#All], MATCH(Table1[[#This Row],[Dept_Id]], Table3[[#All],[Dept_Id]], 0), 1)</f>
        <v>Marketing</v>
      </c>
      <c r="R435" s="22" t="str">
        <f>IF(Table1[[#This Row],[Left?]] = 1, (Table1[[#This Row],[New_Last_Date]]-Table1[[#This Row],[New_DoJ]])/365.25, "")</f>
        <v/>
      </c>
      <c r="S435" s="2" cm="1">
        <f t="array" ref="S43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35" s="2" t="str">
        <f>IF(Table1[[#This Row],[New_DoJ]] &gt;= EDATE( MAX(Table1[New_DoJ]), -24), "Yes", "No")</f>
        <v>No</v>
      </c>
    </row>
    <row r="436" spans="1:20" x14ac:dyDescent="0.3">
      <c r="A436" s="4">
        <v>10259</v>
      </c>
      <c r="B436" s="5" t="s">
        <v>1118</v>
      </c>
      <c r="C436" s="5" t="s">
        <v>1119</v>
      </c>
      <c r="D436" s="5" t="s">
        <v>1120</v>
      </c>
      <c r="E436" s="5" t="s">
        <v>16</v>
      </c>
      <c r="F436" s="15">
        <v>31588</v>
      </c>
      <c r="G436" s="5">
        <v>1</v>
      </c>
      <c r="H436" s="5" t="s">
        <v>29</v>
      </c>
      <c r="I436" s="5">
        <v>0</v>
      </c>
      <c r="J436" s="5" t="s">
        <v>24</v>
      </c>
      <c r="K436" s="12">
        <v>88991</v>
      </c>
      <c r="L436" s="5" t="s">
        <v>77</v>
      </c>
      <c r="M436" s="6" t="s">
        <v>39</v>
      </c>
      <c r="N436" s="15">
        <v>23705</v>
      </c>
      <c r="O436" s="15">
        <v>31588</v>
      </c>
      <c r="P436" s="5"/>
      <c r="Q436" s="2" t="str">
        <f>INDEX(Table3[#All], MATCH(Table1[[#This Row],[Dept_Id]], Table3[[#All],[Dept_Id]], 0), 1)</f>
        <v>Customer Service</v>
      </c>
      <c r="R436" s="22" t="str">
        <f>IF(Table1[[#This Row],[Left?]] = 1, (Table1[[#This Row],[New_Last_Date]]-Table1[[#This Row],[New_DoJ]])/365.25, "")</f>
        <v/>
      </c>
      <c r="S436" s="2" cm="1">
        <f t="array" ref="S43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36" s="2" t="str">
        <f>IF(Table1[[#This Row],[New_DoJ]] &gt;= EDATE( MAX(Table1[New_DoJ]), -24), "Yes", "No")</f>
        <v>No</v>
      </c>
    </row>
    <row r="437" spans="1:20" x14ac:dyDescent="0.3">
      <c r="A437" s="4">
        <v>205714</v>
      </c>
      <c r="B437" s="5" t="s">
        <v>1121</v>
      </c>
      <c r="C437" s="5" t="s">
        <v>1122</v>
      </c>
      <c r="D437" s="5" t="s">
        <v>924</v>
      </c>
      <c r="E437" s="5" t="s">
        <v>16</v>
      </c>
      <c r="F437" s="15">
        <v>33584</v>
      </c>
      <c r="G437" s="5">
        <v>1</v>
      </c>
      <c r="H437" s="5" t="s">
        <v>34</v>
      </c>
      <c r="I437" s="5">
        <v>0</v>
      </c>
      <c r="J437" s="5" t="s">
        <v>24</v>
      </c>
      <c r="K437" s="12">
        <v>51903</v>
      </c>
      <c r="L437" s="5" t="s">
        <v>19</v>
      </c>
      <c r="M437" s="6" t="s">
        <v>20</v>
      </c>
      <c r="N437" s="15">
        <v>19963</v>
      </c>
      <c r="O437" s="15">
        <v>33584</v>
      </c>
      <c r="P437" s="5"/>
      <c r="Q437" s="2" t="str">
        <f>INDEX(Table3[#All], MATCH(Table1[[#This Row],[Dept_Id]], Table3[[#All],[Dept_Id]], 0), 1)</f>
        <v>Development</v>
      </c>
      <c r="R437" s="22" t="str">
        <f>IF(Table1[[#This Row],[Left?]] = 1, (Table1[[#This Row],[New_Last_Date]]-Table1[[#This Row],[New_DoJ]])/365.25, "")</f>
        <v/>
      </c>
      <c r="S437" s="2" cm="1">
        <f t="array" ref="S43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37" s="2" t="str">
        <f>IF(Table1[[#This Row],[New_DoJ]] &gt;= EDATE( MAX(Table1[New_DoJ]), -24), "Yes", "No")</f>
        <v>No</v>
      </c>
    </row>
    <row r="438" spans="1:20" x14ac:dyDescent="0.3">
      <c r="A438" s="4">
        <v>10260</v>
      </c>
      <c r="B438" s="5" t="s">
        <v>1123</v>
      </c>
      <c r="C438" s="5" t="s">
        <v>1124</v>
      </c>
      <c r="D438" s="5" t="s">
        <v>1125</v>
      </c>
      <c r="E438" s="5" t="s">
        <v>33</v>
      </c>
      <c r="F438" s="15">
        <v>33341</v>
      </c>
      <c r="G438" s="5">
        <v>10</v>
      </c>
      <c r="H438" s="5" t="s">
        <v>115</v>
      </c>
      <c r="I438" s="5">
        <v>0</v>
      </c>
      <c r="J438" s="5" t="s">
        <v>24</v>
      </c>
      <c r="K438" s="12">
        <v>60879</v>
      </c>
      <c r="L438" s="5" t="s">
        <v>25</v>
      </c>
      <c r="M438" s="6" t="s">
        <v>20</v>
      </c>
      <c r="N438" s="15">
        <v>22476</v>
      </c>
      <c r="O438" s="15">
        <v>33341</v>
      </c>
      <c r="P438" s="5"/>
      <c r="Q438" s="2" t="str">
        <f>INDEX(Table3[#All], MATCH(Table1[[#This Row],[Dept_Id]], Table3[[#All],[Dept_Id]], 0), 1)</f>
        <v>Production</v>
      </c>
      <c r="R438" s="22" t="str">
        <f>IF(Table1[[#This Row],[Left?]] = 1, (Table1[[#This Row],[New_Last_Date]]-Table1[[#This Row],[New_DoJ]])/365.25, "")</f>
        <v/>
      </c>
      <c r="S438" s="2" cm="1">
        <f t="array" ref="S43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438" s="2" t="str">
        <f>IF(Table1[[#This Row],[New_DoJ]] &gt;= EDATE( MAX(Table1[New_DoJ]), -24), "Yes", "No")</f>
        <v>No</v>
      </c>
    </row>
    <row r="439" spans="1:20" x14ac:dyDescent="0.3">
      <c r="A439" s="4">
        <v>10261</v>
      </c>
      <c r="B439" s="5" t="s">
        <v>386</v>
      </c>
      <c r="C439" s="5" t="s">
        <v>1126</v>
      </c>
      <c r="D439" s="5" t="s">
        <v>1127</v>
      </c>
      <c r="E439" s="5" t="s">
        <v>16</v>
      </c>
      <c r="F439" s="15">
        <v>34262</v>
      </c>
      <c r="G439" s="5">
        <v>4</v>
      </c>
      <c r="H439" s="5" t="s">
        <v>17</v>
      </c>
      <c r="I439" s="5">
        <v>0</v>
      </c>
      <c r="J439" s="5" t="s">
        <v>24</v>
      </c>
      <c r="K439" s="12">
        <v>40000</v>
      </c>
      <c r="L439" s="5" t="s">
        <v>19</v>
      </c>
      <c r="M439" s="6" t="s">
        <v>20</v>
      </c>
      <c r="N439" s="15">
        <v>21909</v>
      </c>
      <c r="O439" s="15">
        <v>34262</v>
      </c>
      <c r="P439" s="5"/>
      <c r="Q439" s="2" t="str">
        <f>INDEX(Table3[#All], MATCH(Table1[[#This Row],[Dept_Id]], Table3[[#All],[Dept_Id]], 0), 1)</f>
        <v>Development</v>
      </c>
      <c r="R439" s="22" t="str">
        <f>IF(Table1[[#This Row],[Left?]] = 1, (Table1[[#This Row],[New_Last_Date]]-Table1[[#This Row],[New_DoJ]])/365.25, "")</f>
        <v/>
      </c>
      <c r="S439" s="2" cm="1">
        <f t="array" ref="S43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39" s="2" t="str">
        <f>IF(Table1[[#This Row],[New_DoJ]] &gt;= EDATE( MAX(Table1[New_DoJ]), -24), "Yes", "No")</f>
        <v>No</v>
      </c>
    </row>
    <row r="440" spans="1:20" x14ac:dyDescent="0.3">
      <c r="A440" s="4">
        <v>218042</v>
      </c>
      <c r="B440" s="5" t="s">
        <v>794</v>
      </c>
      <c r="C440" s="5" t="s">
        <v>767</v>
      </c>
      <c r="D440" s="5" t="s">
        <v>1128</v>
      </c>
      <c r="E440" s="5" t="s">
        <v>16</v>
      </c>
      <c r="F440" s="15">
        <v>34919</v>
      </c>
      <c r="G440" s="5">
        <v>1</v>
      </c>
      <c r="H440" s="5" t="s">
        <v>29</v>
      </c>
      <c r="I440" s="5">
        <v>0</v>
      </c>
      <c r="J440" s="5" t="s">
        <v>24</v>
      </c>
      <c r="K440" s="12">
        <v>74213</v>
      </c>
      <c r="L440" s="5" t="s">
        <v>92</v>
      </c>
      <c r="M440" s="6" t="s">
        <v>39</v>
      </c>
      <c r="N440" s="15">
        <v>21926</v>
      </c>
      <c r="O440" s="15">
        <v>34919</v>
      </c>
      <c r="P440" s="5"/>
      <c r="Q440" s="2" t="str">
        <f>INDEX(Table3[#All], MATCH(Table1[[#This Row],[Dept_Id]], Table3[[#All],[Dept_Id]], 0), 1)</f>
        <v>Finance</v>
      </c>
      <c r="R440" s="22" t="str">
        <f>IF(Table1[[#This Row],[Left?]] = 1, (Table1[[#This Row],[New_Last_Date]]-Table1[[#This Row],[New_DoJ]])/365.25, "")</f>
        <v/>
      </c>
      <c r="S440" s="2" cm="1">
        <f t="array" ref="S44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40" s="2" t="str">
        <f>IF(Table1[[#This Row],[New_DoJ]] &gt;= EDATE( MAX(Table1[New_DoJ]), -24), "Yes", "No")</f>
        <v>No</v>
      </c>
    </row>
    <row r="441" spans="1:20" x14ac:dyDescent="0.3">
      <c r="A441" s="4">
        <v>10262</v>
      </c>
      <c r="B441" s="5" t="s">
        <v>1129</v>
      </c>
      <c r="C441" s="5" t="s">
        <v>1130</v>
      </c>
      <c r="D441" s="5" t="s">
        <v>1131</v>
      </c>
      <c r="E441" s="5" t="s">
        <v>33</v>
      </c>
      <c r="F441" s="15">
        <v>33812</v>
      </c>
      <c r="G441" s="5">
        <v>5</v>
      </c>
      <c r="H441" s="5" t="s">
        <v>29</v>
      </c>
      <c r="I441" s="5">
        <v>1</v>
      </c>
      <c r="J441" s="5" t="s">
        <v>1132</v>
      </c>
      <c r="K441" s="12">
        <v>63005</v>
      </c>
      <c r="L441" s="5" t="s">
        <v>38</v>
      </c>
      <c r="M441" s="6" t="s">
        <v>39</v>
      </c>
      <c r="N441" s="15">
        <v>20305</v>
      </c>
      <c r="O441" s="15">
        <v>33812</v>
      </c>
      <c r="P441" s="15">
        <v>36430</v>
      </c>
      <c r="Q441" s="2" t="str">
        <f>INDEX(Table3[#All], MATCH(Table1[[#This Row],[Dept_Id]], Table3[[#All],[Dept_Id]], 0), 1)</f>
        <v>Sales</v>
      </c>
      <c r="R441" s="22">
        <f>IF(Table1[[#This Row],[Left?]] = 1, (Table1[[#This Row],[New_Last_Date]]-Table1[[#This Row],[New_DoJ]])/365.25, "")</f>
        <v>7.1676933607118416</v>
      </c>
      <c r="S441" s="2" cm="1">
        <f t="array" ref="S44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41" s="2" t="str">
        <f>IF(Table1[[#This Row],[New_DoJ]] &gt;= EDATE( MAX(Table1[New_DoJ]), -24), "Yes", "No")</f>
        <v>No</v>
      </c>
    </row>
    <row r="442" spans="1:20" x14ac:dyDescent="0.3">
      <c r="A442" s="4">
        <v>10263</v>
      </c>
      <c r="B442" s="5" t="s">
        <v>1133</v>
      </c>
      <c r="C442" s="5" t="s">
        <v>1134</v>
      </c>
      <c r="D442" s="5" t="s">
        <v>1135</v>
      </c>
      <c r="E442" s="5" t="s">
        <v>16</v>
      </c>
      <c r="F442" s="15">
        <v>34370</v>
      </c>
      <c r="G442" s="5">
        <v>7</v>
      </c>
      <c r="H442" s="5" t="s">
        <v>29</v>
      </c>
      <c r="I442" s="5">
        <v>0</v>
      </c>
      <c r="J442" s="5" t="s">
        <v>24</v>
      </c>
      <c r="K442" s="12">
        <v>67883</v>
      </c>
      <c r="L442" s="5" t="s">
        <v>92</v>
      </c>
      <c r="M442" s="6" t="s">
        <v>39</v>
      </c>
      <c r="N442" s="15">
        <v>22320</v>
      </c>
      <c r="O442" s="15">
        <v>34370</v>
      </c>
      <c r="P442" s="5"/>
      <c r="Q442" s="2" t="str">
        <f>INDEX(Table3[#All], MATCH(Table1[[#This Row],[Dept_Id]], Table3[[#All],[Dept_Id]], 0), 1)</f>
        <v>Finance</v>
      </c>
      <c r="R442" s="22" t="str">
        <f>IF(Table1[[#This Row],[Left?]] = 1, (Table1[[#This Row],[New_Last_Date]]-Table1[[#This Row],[New_DoJ]])/365.25, "")</f>
        <v/>
      </c>
      <c r="S442" s="2" cm="1">
        <f t="array" ref="S44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42" s="2" t="str">
        <f>IF(Table1[[#This Row],[New_DoJ]] &gt;= EDATE( MAX(Table1[New_DoJ]), -24), "Yes", "No")</f>
        <v>No</v>
      </c>
    </row>
    <row r="443" spans="1:20" x14ac:dyDescent="0.3">
      <c r="A443" s="4">
        <v>36965</v>
      </c>
      <c r="B443" s="5" t="s">
        <v>334</v>
      </c>
      <c r="C443" s="5" t="s">
        <v>1136</v>
      </c>
      <c r="D443" s="5" t="s">
        <v>1137</v>
      </c>
      <c r="E443" s="5" t="s">
        <v>16</v>
      </c>
      <c r="F443" s="15">
        <v>32210</v>
      </c>
      <c r="G443" s="5">
        <v>2</v>
      </c>
      <c r="H443" s="5" t="s">
        <v>34</v>
      </c>
      <c r="I443" s="5">
        <v>1</v>
      </c>
      <c r="J443" s="5" t="s">
        <v>1138</v>
      </c>
      <c r="K443" s="12">
        <v>51883</v>
      </c>
      <c r="L443" s="5" t="s">
        <v>19</v>
      </c>
      <c r="M443" s="6" t="s">
        <v>20</v>
      </c>
      <c r="N443" s="15">
        <v>19366</v>
      </c>
      <c r="O443" s="15">
        <v>32210</v>
      </c>
      <c r="P443" s="15">
        <v>33747</v>
      </c>
      <c r="Q443" s="2" t="str">
        <f>INDEX(Table3[#All], MATCH(Table1[[#This Row],[Dept_Id]], Table3[[#All],[Dept_Id]], 0), 1)</f>
        <v>Development</v>
      </c>
      <c r="R443" s="22">
        <f>IF(Table1[[#This Row],[Left?]] = 1, (Table1[[#This Row],[New_Last_Date]]-Table1[[#This Row],[New_DoJ]])/365.25, "")</f>
        <v>4.2080766598220398</v>
      </c>
      <c r="S443" s="2" cm="1">
        <f t="array" ref="S44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43" s="2" t="str">
        <f>IF(Table1[[#This Row],[New_DoJ]] &gt;= EDATE( MAX(Table1[New_DoJ]), -24), "Yes", "No")</f>
        <v>No</v>
      </c>
    </row>
    <row r="444" spans="1:20" x14ac:dyDescent="0.3">
      <c r="A444" s="4">
        <v>10264</v>
      </c>
      <c r="B444" s="5" t="s">
        <v>1139</v>
      </c>
      <c r="C444" s="5" t="s">
        <v>1140</v>
      </c>
      <c r="D444" s="5" t="s">
        <v>1141</v>
      </c>
      <c r="E444" s="5" t="s">
        <v>33</v>
      </c>
      <c r="F444" s="15">
        <v>35627</v>
      </c>
      <c r="G444" s="5">
        <v>6</v>
      </c>
      <c r="H444" s="5" t="s">
        <v>29</v>
      </c>
      <c r="I444" s="5">
        <v>0</v>
      </c>
      <c r="J444" s="5" t="s">
        <v>24</v>
      </c>
      <c r="K444" s="12">
        <v>60522</v>
      </c>
      <c r="L444" s="5" t="s">
        <v>19</v>
      </c>
      <c r="M444" s="6" t="s">
        <v>50</v>
      </c>
      <c r="N444" s="15">
        <v>21436</v>
      </c>
      <c r="O444" s="15">
        <v>35627</v>
      </c>
      <c r="P444" s="5"/>
      <c r="Q444" s="2" t="str">
        <f>INDEX(Table3[#All], MATCH(Table1[[#This Row],[Dept_Id]], Table3[[#All],[Dept_Id]], 0), 1)</f>
        <v>Development</v>
      </c>
      <c r="R444" s="22" t="str">
        <f>IF(Table1[[#This Row],[Left?]] = 1, (Table1[[#This Row],[New_Last_Date]]-Table1[[#This Row],[New_DoJ]])/365.25, "")</f>
        <v/>
      </c>
      <c r="S444" s="2" cm="1">
        <f t="array" ref="S44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44" s="2" t="str">
        <f>IF(Table1[[#This Row],[New_DoJ]] &gt;= EDATE( MAX(Table1[New_DoJ]), -24), "Yes", "No")</f>
        <v>No</v>
      </c>
    </row>
    <row r="445" spans="1:20" x14ac:dyDescent="0.3">
      <c r="A445" s="4">
        <v>10265</v>
      </c>
      <c r="B445" s="5" t="s">
        <v>562</v>
      </c>
      <c r="C445" s="5" t="s">
        <v>1065</v>
      </c>
      <c r="D445" s="5" t="s">
        <v>1142</v>
      </c>
      <c r="E445" s="5" t="s">
        <v>16</v>
      </c>
      <c r="F445" s="15">
        <v>32702</v>
      </c>
      <c r="G445" s="5">
        <v>5</v>
      </c>
      <c r="H445" s="5" t="s">
        <v>17</v>
      </c>
      <c r="I445" s="5">
        <v>0</v>
      </c>
      <c r="J445" s="5" t="s">
        <v>24</v>
      </c>
      <c r="K445" s="12">
        <v>46382</v>
      </c>
      <c r="L445" s="5" t="s">
        <v>63</v>
      </c>
      <c r="M445" s="6" t="s">
        <v>20</v>
      </c>
      <c r="N445" s="15">
        <v>22251</v>
      </c>
      <c r="O445" s="15">
        <v>32702</v>
      </c>
      <c r="P445" s="5"/>
      <c r="Q445" s="2" t="str">
        <f>INDEX(Table3[#All], MATCH(Table1[[#This Row],[Dept_Id]], Table3[[#All],[Dept_Id]], 0), 1)</f>
        <v>Quality Management</v>
      </c>
      <c r="R445" s="22" t="str">
        <f>IF(Table1[[#This Row],[Left?]] = 1, (Table1[[#This Row],[New_Last_Date]]-Table1[[#This Row],[New_DoJ]])/365.25, "")</f>
        <v/>
      </c>
      <c r="S445" s="2" cm="1">
        <f t="array" ref="S44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45" s="2" t="str">
        <f>IF(Table1[[#This Row],[New_DoJ]] &gt;= EDATE( MAX(Table1[New_DoJ]), -24), "Yes", "No")</f>
        <v>No</v>
      </c>
    </row>
    <row r="446" spans="1:20" x14ac:dyDescent="0.3">
      <c r="A446" s="4">
        <v>218058</v>
      </c>
      <c r="B446" s="5" t="s">
        <v>1143</v>
      </c>
      <c r="C446" s="5" t="s">
        <v>1112</v>
      </c>
      <c r="D446" s="5" t="s">
        <v>1144</v>
      </c>
      <c r="E446" s="5" t="s">
        <v>16</v>
      </c>
      <c r="F446" s="15">
        <v>32385</v>
      </c>
      <c r="G446" s="5">
        <v>1</v>
      </c>
      <c r="H446" s="5" t="s">
        <v>29</v>
      </c>
      <c r="I446" s="5">
        <v>0</v>
      </c>
      <c r="J446" s="5" t="s">
        <v>24</v>
      </c>
      <c r="K446" s="12">
        <v>67484</v>
      </c>
      <c r="L446" s="5" t="s">
        <v>105</v>
      </c>
      <c r="M446" s="6" t="s">
        <v>87</v>
      </c>
      <c r="N446" s="15">
        <v>21393</v>
      </c>
      <c r="O446" s="15">
        <v>32385</v>
      </c>
      <c r="P446" s="5"/>
      <c r="Q446" s="2" t="str">
        <f>INDEX(Table3[#All], MATCH(Table1[[#This Row],[Dept_Id]], Table3[[#All],[Dept_Id]], 0), 1)</f>
        <v>Marketing</v>
      </c>
      <c r="R446" s="22" t="str">
        <f>IF(Table1[[#This Row],[Left?]] = 1, (Table1[[#This Row],[New_Last_Date]]-Table1[[#This Row],[New_DoJ]])/365.25, "")</f>
        <v/>
      </c>
      <c r="S446" s="2" cm="1">
        <f t="array" ref="S44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46" s="2" t="str">
        <f>IF(Table1[[#This Row],[New_DoJ]] &gt;= EDATE( MAX(Table1[New_DoJ]), -24), "Yes", "No")</f>
        <v>No</v>
      </c>
    </row>
    <row r="447" spans="1:20" x14ac:dyDescent="0.3">
      <c r="A447" s="4">
        <v>10266</v>
      </c>
      <c r="B447" s="5" t="s">
        <v>1145</v>
      </c>
      <c r="C447" s="5" t="s">
        <v>1146</v>
      </c>
      <c r="D447" s="5" t="s">
        <v>762</v>
      </c>
      <c r="E447" s="5" t="s">
        <v>16</v>
      </c>
      <c r="F447" s="15">
        <v>33018</v>
      </c>
      <c r="G447" s="5">
        <v>7</v>
      </c>
      <c r="H447" s="5" t="s">
        <v>34</v>
      </c>
      <c r="I447" s="5">
        <v>0</v>
      </c>
      <c r="J447" s="5" t="s">
        <v>24</v>
      </c>
      <c r="K447" s="12">
        <v>47093</v>
      </c>
      <c r="L447" s="5" t="s">
        <v>25</v>
      </c>
      <c r="M447" s="6" t="s">
        <v>20</v>
      </c>
      <c r="N447" s="15">
        <v>21240</v>
      </c>
      <c r="O447" s="15">
        <v>33018</v>
      </c>
      <c r="P447" s="5"/>
      <c r="Q447" s="2" t="str">
        <f>INDEX(Table3[#All], MATCH(Table1[[#This Row],[Dept_Id]], Table3[[#All],[Dept_Id]], 0), 1)</f>
        <v>Production</v>
      </c>
      <c r="R447" s="22" t="str">
        <f>IF(Table1[[#This Row],[Left?]] = 1, (Table1[[#This Row],[New_Last_Date]]-Table1[[#This Row],[New_DoJ]])/365.25, "")</f>
        <v/>
      </c>
      <c r="S447" s="2" cm="1">
        <f t="array" ref="S44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47" s="2" t="str">
        <f>IF(Table1[[#This Row],[New_DoJ]] &gt;= EDATE( MAX(Table1[New_DoJ]), -24), "Yes", "No")</f>
        <v>No</v>
      </c>
    </row>
    <row r="448" spans="1:20" x14ac:dyDescent="0.3">
      <c r="A448" s="4">
        <v>10267</v>
      </c>
      <c r="B448" s="5" t="s">
        <v>1147</v>
      </c>
      <c r="C448" s="5" t="s">
        <v>350</v>
      </c>
      <c r="D448" s="5" t="s">
        <v>1148</v>
      </c>
      <c r="E448" s="5" t="s">
        <v>16</v>
      </c>
      <c r="F448" s="15">
        <v>35410</v>
      </c>
      <c r="G448" s="5">
        <v>1</v>
      </c>
      <c r="H448" s="5" t="s">
        <v>34</v>
      </c>
      <c r="I448" s="5">
        <v>0</v>
      </c>
      <c r="J448" s="5" t="s">
        <v>24</v>
      </c>
      <c r="K448" s="12">
        <v>40000</v>
      </c>
      <c r="L448" s="5" t="s">
        <v>25</v>
      </c>
      <c r="M448" s="6" t="s">
        <v>50</v>
      </c>
      <c r="N448" s="15">
        <v>20470</v>
      </c>
      <c r="O448" s="15">
        <v>35410</v>
      </c>
      <c r="P448" s="5"/>
      <c r="Q448" s="2" t="str">
        <f>INDEX(Table3[#All], MATCH(Table1[[#This Row],[Dept_Id]], Table3[[#All],[Dept_Id]], 0), 1)</f>
        <v>Production</v>
      </c>
      <c r="R448" s="22" t="str">
        <f>IF(Table1[[#This Row],[Left?]] = 1, (Table1[[#This Row],[New_Last_Date]]-Table1[[#This Row],[New_DoJ]])/365.25, "")</f>
        <v/>
      </c>
      <c r="S448" s="2" cm="1">
        <f t="array" ref="S44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48" s="2" t="str">
        <f>IF(Table1[[#This Row],[New_DoJ]] &gt;= EDATE( MAX(Table1[New_DoJ]), -24), "Yes", "No")</f>
        <v>No</v>
      </c>
    </row>
    <row r="449" spans="1:20" x14ac:dyDescent="0.3">
      <c r="A449" s="4">
        <v>10966</v>
      </c>
      <c r="B449" s="5" t="s">
        <v>1149</v>
      </c>
      <c r="C449" s="5" t="s">
        <v>387</v>
      </c>
      <c r="D449" s="5" t="s">
        <v>1150</v>
      </c>
      <c r="E449" s="5" t="s">
        <v>16</v>
      </c>
      <c r="F449" s="15">
        <v>32819</v>
      </c>
      <c r="G449" s="5">
        <v>5</v>
      </c>
      <c r="H449" s="5" t="s">
        <v>34</v>
      </c>
      <c r="I449" s="5">
        <v>0</v>
      </c>
      <c r="J449" s="5" t="s">
        <v>24</v>
      </c>
      <c r="K449" s="12">
        <v>70464</v>
      </c>
      <c r="L449" s="5" t="s">
        <v>25</v>
      </c>
      <c r="M449" s="6" t="s">
        <v>39</v>
      </c>
      <c r="N449" s="15">
        <v>22831</v>
      </c>
      <c r="O449" s="15">
        <v>32819</v>
      </c>
      <c r="P449" s="5"/>
      <c r="Q449" s="2" t="str">
        <f>INDEX(Table3[#All], MATCH(Table1[[#This Row],[Dept_Id]], Table3[[#All],[Dept_Id]], 0), 1)</f>
        <v>Production</v>
      </c>
      <c r="R449" s="22" t="str">
        <f>IF(Table1[[#This Row],[Left?]] = 1, (Table1[[#This Row],[New_Last_Date]]-Table1[[#This Row],[New_DoJ]])/365.25, "")</f>
        <v/>
      </c>
      <c r="S449" s="2" cm="1">
        <f t="array" ref="S44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49" s="2" t="str">
        <f>IF(Table1[[#This Row],[New_DoJ]] &gt;= EDATE( MAX(Table1[New_DoJ]), -24), "Yes", "No")</f>
        <v>No</v>
      </c>
    </row>
    <row r="450" spans="1:20" x14ac:dyDescent="0.3">
      <c r="A450" s="4">
        <v>10966</v>
      </c>
      <c r="B450" s="5" t="s">
        <v>1149</v>
      </c>
      <c r="C450" s="5" t="s">
        <v>387</v>
      </c>
      <c r="D450" s="5" t="s">
        <v>1150</v>
      </c>
      <c r="E450" s="5" t="s">
        <v>16</v>
      </c>
      <c r="F450" s="15">
        <v>32819</v>
      </c>
      <c r="G450" s="5">
        <v>5</v>
      </c>
      <c r="H450" s="5" t="s">
        <v>34</v>
      </c>
      <c r="I450" s="5">
        <v>0</v>
      </c>
      <c r="J450" s="5" t="s">
        <v>24</v>
      </c>
      <c r="K450" s="12">
        <v>70464</v>
      </c>
      <c r="L450" s="5" t="s">
        <v>55</v>
      </c>
      <c r="M450" s="6" t="s">
        <v>39</v>
      </c>
      <c r="N450" s="15">
        <v>22831</v>
      </c>
      <c r="O450" s="15">
        <v>32819</v>
      </c>
      <c r="P450" s="5"/>
      <c r="Q450" s="2" t="str">
        <f>INDEX(Table3[#All], MATCH(Table1[[#This Row],[Dept_Id]], Table3[[#All],[Dept_Id]], 0), 1)</f>
        <v>Research</v>
      </c>
      <c r="R450" s="22" t="str">
        <f>IF(Table1[[#This Row],[Left?]] = 1, (Table1[[#This Row],[New_Last_Date]]-Table1[[#This Row],[New_DoJ]])/365.25, "")</f>
        <v/>
      </c>
      <c r="S450" s="2" cm="1">
        <f t="array" ref="S45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50" s="2" t="str">
        <f>IF(Table1[[#This Row],[New_DoJ]] &gt;= EDATE( MAX(Table1[New_DoJ]), -24), "Yes", "No")</f>
        <v>No</v>
      </c>
    </row>
    <row r="451" spans="1:20" x14ac:dyDescent="0.3">
      <c r="A451" s="4">
        <v>10268</v>
      </c>
      <c r="B451" s="5" t="s">
        <v>1151</v>
      </c>
      <c r="C451" s="5" t="s">
        <v>613</v>
      </c>
      <c r="D451" s="5" t="s">
        <v>1152</v>
      </c>
      <c r="E451" s="5" t="s">
        <v>16</v>
      </c>
      <c r="F451" s="15">
        <v>31763</v>
      </c>
      <c r="G451" s="5">
        <v>4</v>
      </c>
      <c r="H451" s="5" t="s">
        <v>34</v>
      </c>
      <c r="I451" s="5">
        <v>1</v>
      </c>
      <c r="J451" s="5" t="s">
        <v>1153</v>
      </c>
      <c r="K451" s="12">
        <v>41017</v>
      </c>
      <c r="L451" s="5" t="s">
        <v>25</v>
      </c>
      <c r="M451" s="6" t="s">
        <v>50</v>
      </c>
      <c r="N451" s="15">
        <v>21339</v>
      </c>
      <c r="O451" s="15">
        <v>31763</v>
      </c>
      <c r="P451" s="15">
        <v>35423</v>
      </c>
      <c r="Q451" s="2" t="str">
        <f>INDEX(Table3[#All], MATCH(Table1[[#This Row],[Dept_Id]], Table3[[#All],[Dept_Id]], 0), 1)</f>
        <v>Production</v>
      </c>
      <c r="R451" s="22">
        <f>IF(Table1[[#This Row],[Left?]] = 1, (Table1[[#This Row],[New_Last_Date]]-Table1[[#This Row],[New_DoJ]])/365.25, "")</f>
        <v>10.020533880903491</v>
      </c>
      <c r="S451" s="2" cm="1">
        <f t="array" ref="S45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51" s="2" t="str">
        <f>IF(Table1[[#This Row],[New_DoJ]] &gt;= EDATE( MAX(Table1[New_DoJ]), -24), "Yes", "No")</f>
        <v>No</v>
      </c>
    </row>
    <row r="452" spans="1:20" x14ac:dyDescent="0.3">
      <c r="A452" s="4">
        <v>10268</v>
      </c>
      <c r="B452" s="5" t="s">
        <v>1151</v>
      </c>
      <c r="C452" s="5" t="s">
        <v>613</v>
      </c>
      <c r="D452" s="5" t="s">
        <v>1152</v>
      </c>
      <c r="E452" s="5" t="s">
        <v>16</v>
      </c>
      <c r="F452" s="15">
        <v>31763</v>
      </c>
      <c r="G452" s="5">
        <v>4</v>
      </c>
      <c r="H452" s="5" t="s">
        <v>34</v>
      </c>
      <c r="I452" s="5">
        <v>1</v>
      </c>
      <c r="J452" s="5" t="s">
        <v>1153</v>
      </c>
      <c r="K452" s="12">
        <v>41017</v>
      </c>
      <c r="L452" s="5" t="s">
        <v>19</v>
      </c>
      <c r="M452" s="6" t="s">
        <v>50</v>
      </c>
      <c r="N452" s="15">
        <v>21339</v>
      </c>
      <c r="O452" s="15">
        <v>31763</v>
      </c>
      <c r="P452" s="15">
        <v>35423</v>
      </c>
      <c r="Q452" s="2" t="str">
        <f>INDEX(Table3[#All], MATCH(Table1[[#This Row],[Dept_Id]], Table3[[#All],[Dept_Id]], 0), 1)</f>
        <v>Development</v>
      </c>
      <c r="R452" s="22">
        <f>IF(Table1[[#This Row],[Left?]] = 1, (Table1[[#This Row],[New_Last_Date]]-Table1[[#This Row],[New_DoJ]])/365.25, "")</f>
        <v>10.020533880903491</v>
      </c>
      <c r="S452" s="2" cm="1">
        <f t="array" ref="S45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52" s="2" t="str">
        <f>IF(Table1[[#This Row],[New_DoJ]] &gt;= EDATE( MAX(Table1[New_DoJ]), -24), "Yes", "No")</f>
        <v>No</v>
      </c>
    </row>
    <row r="453" spans="1:20" x14ac:dyDescent="0.3">
      <c r="A453" s="4">
        <v>423740</v>
      </c>
      <c r="B453" s="5" t="s">
        <v>1154</v>
      </c>
      <c r="C453" s="5" t="s">
        <v>1155</v>
      </c>
      <c r="D453" s="5" t="s">
        <v>1156</v>
      </c>
      <c r="E453" s="5" t="s">
        <v>33</v>
      </c>
      <c r="F453" s="15">
        <v>32112</v>
      </c>
      <c r="G453" s="5">
        <v>3</v>
      </c>
      <c r="H453" s="5" t="s">
        <v>29</v>
      </c>
      <c r="I453" s="5">
        <v>0</v>
      </c>
      <c r="J453" s="5" t="s">
        <v>24</v>
      </c>
      <c r="K453" s="12">
        <v>46599</v>
      </c>
      <c r="L453" s="5" t="s">
        <v>19</v>
      </c>
      <c r="M453" s="6" t="s">
        <v>20</v>
      </c>
      <c r="N453" s="15">
        <v>19955</v>
      </c>
      <c r="O453" s="15">
        <v>32112</v>
      </c>
      <c r="P453" s="5"/>
      <c r="Q453" s="2" t="str">
        <f>INDEX(Table3[#All], MATCH(Table1[[#This Row],[Dept_Id]], Table3[[#All],[Dept_Id]], 0), 1)</f>
        <v>Development</v>
      </c>
      <c r="R453" s="22" t="str">
        <f>IF(Table1[[#This Row],[Left?]] = 1, (Table1[[#This Row],[New_Last_Date]]-Table1[[#This Row],[New_DoJ]])/365.25, "")</f>
        <v/>
      </c>
      <c r="S453" s="2" cm="1">
        <f t="array" ref="S45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53" s="2" t="str">
        <f>IF(Table1[[#This Row],[New_DoJ]] &gt;= EDATE( MAX(Table1[New_DoJ]), -24), "Yes", "No")</f>
        <v>No</v>
      </c>
    </row>
    <row r="454" spans="1:20" x14ac:dyDescent="0.3">
      <c r="A454" s="4">
        <v>10269</v>
      </c>
      <c r="B454" s="5" t="s">
        <v>1157</v>
      </c>
      <c r="C454" s="5" t="s">
        <v>1158</v>
      </c>
      <c r="D454" s="5" t="s">
        <v>1159</v>
      </c>
      <c r="E454" s="5" t="s">
        <v>33</v>
      </c>
      <c r="F454" s="15">
        <v>32348</v>
      </c>
      <c r="G454" s="5">
        <v>3</v>
      </c>
      <c r="H454" s="5" t="s">
        <v>29</v>
      </c>
      <c r="I454" s="5">
        <v>0</v>
      </c>
      <c r="J454" s="5" t="s">
        <v>24</v>
      </c>
      <c r="K454" s="12">
        <v>40000</v>
      </c>
      <c r="L454" s="5" t="s">
        <v>25</v>
      </c>
      <c r="M454" s="6" t="s">
        <v>20</v>
      </c>
      <c r="N454" s="15">
        <v>21830</v>
      </c>
      <c r="O454" s="15">
        <v>32348</v>
      </c>
      <c r="P454" s="5"/>
      <c r="Q454" s="2" t="str">
        <f>INDEX(Table3[#All], MATCH(Table1[[#This Row],[Dept_Id]], Table3[[#All],[Dept_Id]], 0), 1)</f>
        <v>Production</v>
      </c>
      <c r="R454" s="22" t="str">
        <f>IF(Table1[[#This Row],[Left?]] = 1, (Table1[[#This Row],[New_Last_Date]]-Table1[[#This Row],[New_DoJ]])/365.25, "")</f>
        <v/>
      </c>
      <c r="S454" s="2" cm="1">
        <f t="array" ref="S45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54" s="2" t="str">
        <f>IF(Table1[[#This Row],[New_DoJ]] &gt;= EDATE( MAX(Table1[New_DoJ]), -24), "Yes", "No")</f>
        <v>No</v>
      </c>
    </row>
    <row r="455" spans="1:20" x14ac:dyDescent="0.3">
      <c r="A455" s="4">
        <v>10270</v>
      </c>
      <c r="B455" s="5" t="s">
        <v>1160</v>
      </c>
      <c r="C455" s="5" t="s">
        <v>1161</v>
      </c>
      <c r="D455" s="5" t="s">
        <v>1162</v>
      </c>
      <c r="E455" s="5" t="s">
        <v>33</v>
      </c>
      <c r="F455" s="15">
        <v>32989</v>
      </c>
      <c r="G455" s="5">
        <v>2</v>
      </c>
      <c r="H455" s="5" t="s">
        <v>29</v>
      </c>
      <c r="I455" s="5">
        <v>0</v>
      </c>
      <c r="J455" s="5" t="s">
        <v>24</v>
      </c>
      <c r="K455" s="12">
        <v>42081</v>
      </c>
      <c r="L455" s="5" t="s">
        <v>38</v>
      </c>
      <c r="M455" s="6" t="s">
        <v>39</v>
      </c>
      <c r="N455" s="15">
        <v>23041</v>
      </c>
      <c r="O455" s="15">
        <v>32989</v>
      </c>
      <c r="P455" s="5"/>
      <c r="Q455" s="2" t="str">
        <f>INDEX(Table3[#All], MATCH(Table1[[#This Row],[Dept_Id]], Table3[[#All],[Dept_Id]], 0), 1)</f>
        <v>Sales</v>
      </c>
      <c r="R455" s="22" t="str">
        <f>IF(Table1[[#This Row],[Left?]] = 1, (Table1[[#This Row],[New_Last_Date]]-Table1[[#This Row],[New_DoJ]])/365.25, "")</f>
        <v/>
      </c>
      <c r="S455" s="2" cm="1">
        <f t="array" ref="S45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55" s="2" t="str">
        <f>IF(Table1[[#This Row],[New_DoJ]] &gt;= EDATE( MAX(Table1[New_DoJ]), -24), "Yes", "No")</f>
        <v>No</v>
      </c>
    </row>
    <row r="456" spans="1:20" x14ac:dyDescent="0.3">
      <c r="A456" s="4">
        <v>468180</v>
      </c>
      <c r="B456" s="5" t="s">
        <v>1163</v>
      </c>
      <c r="C456" s="5" t="s">
        <v>996</v>
      </c>
      <c r="D456" s="5" t="s">
        <v>1164</v>
      </c>
      <c r="E456" s="5" t="s">
        <v>16</v>
      </c>
      <c r="F456" s="15">
        <v>33786</v>
      </c>
      <c r="G456" s="5">
        <v>7</v>
      </c>
      <c r="H456" s="5" t="s">
        <v>34</v>
      </c>
      <c r="I456" s="5">
        <v>0</v>
      </c>
      <c r="J456" s="5" t="s">
        <v>24</v>
      </c>
      <c r="K456" s="12">
        <v>59348</v>
      </c>
      <c r="L456" s="5" t="s">
        <v>77</v>
      </c>
      <c r="M456" s="6" t="s">
        <v>39</v>
      </c>
      <c r="N456" s="15">
        <v>21904</v>
      </c>
      <c r="O456" s="15">
        <v>33786</v>
      </c>
      <c r="P456" s="5"/>
      <c r="Q456" s="2" t="str">
        <f>INDEX(Table3[#All], MATCH(Table1[[#This Row],[Dept_Id]], Table3[[#All],[Dept_Id]], 0), 1)</f>
        <v>Customer Service</v>
      </c>
      <c r="R456" s="22" t="str">
        <f>IF(Table1[[#This Row],[Left?]] = 1, (Table1[[#This Row],[New_Last_Date]]-Table1[[#This Row],[New_DoJ]])/365.25, "")</f>
        <v/>
      </c>
      <c r="S456" s="2" cm="1">
        <f t="array" ref="S45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56" s="2" t="str">
        <f>IF(Table1[[#This Row],[New_DoJ]] &gt;= EDATE( MAX(Table1[New_DoJ]), -24), "Yes", "No")</f>
        <v>No</v>
      </c>
    </row>
    <row r="457" spans="1:20" x14ac:dyDescent="0.3">
      <c r="A457" s="4">
        <v>10271</v>
      </c>
      <c r="B457" s="5" t="s">
        <v>1165</v>
      </c>
      <c r="C457" s="5" t="s">
        <v>1166</v>
      </c>
      <c r="D457" s="5" t="s">
        <v>1167</v>
      </c>
      <c r="E457" s="5" t="s">
        <v>16</v>
      </c>
      <c r="F457" s="15">
        <v>31555</v>
      </c>
      <c r="G457" s="5">
        <v>6</v>
      </c>
      <c r="H457" s="5" t="s">
        <v>29</v>
      </c>
      <c r="I457" s="5">
        <v>0</v>
      </c>
      <c r="J457" s="5" t="s">
        <v>24</v>
      </c>
      <c r="K457" s="12">
        <v>53680</v>
      </c>
      <c r="L457" s="5" t="s">
        <v>19</v>
      </c>
      <c r="M457" s="6" t="s">
        <v>20</v>
      </c>
      <c r="N457" s="15">
        <v>22760</v>
      </c>
      <c r="O457" s="15">
        <v>31555</v>
      </c>
      <c r="P457" s="5"/>
      <c r="Q457" s="2" t="str">
        <f>INDEX(Table3[#All], MATCH(Table1[[#This Row],[Dept_Id]], Table3[[#All],[Dept_Id]], 0), 1)</f>
        <v>Development</v>
      </c>
      <c r="R457" s="22" t="str">
        <f>IF(Table1[[#This Row],[Left?]] = 1, (Table1[[#This Row],[New_Last_Date]]-Table1[[#This Row],[New_DoJ]])/365.25, "")</f>
        <v/>
      </c>
      <c r="S457" s="2" cm="1">
        <f t="array" ref="S45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57" s="2" t="str">
        <f>IF(Table1[[#This Row],[New_DoJ]] &gt;= EDATE( MAX(Table1[New_DoJ]), -24), "Yes", "No")</f>
        <v>No</v>
      </c>
    </row>
    <row r="458" spans="1:20" x14ac:dyDescent="0.3">
      <c r="A458" s="4">
        <v>10272</v>
      </c>
      <c r="B458" s="5" t="s">
        <v>1168</v>
      </c>
      <c r="C458" s="5" t="s">
        <v>1169</v>
      </c>
      <c r="D458" s="5" t="s">
        <v>1170</v>
      </c>
      <c r="E458" s="5" t="s">
        <v>16</v>
      </c>
      <c r="F458" s="15">
        <v>32286</v>
      </c>
      <c r="G458" s="5">
        <v>4</v>
      </c>
      <c r="H458" s="5" t="s">
        <v>29</v>
      </c>
      <c r="I458" s="5">
        <v>0</v>
      </c>
      <c r="J458" s="5" t="s">
        <v>24</v>
      </c>
      <c r="K458" s="12">
        <v>58070</v>
      </c>
      <c r="L458" s="5" t="s">
        <v>92</v>
      </c>
      <c r="M458" s="6" t="s">
        <v>39</v>
      </c>
      <c r="N458" s="15">
        <v>20058</v>
      </c>
      <c r="O458" s="15">
        <v>32286</v>
      </c>
      <c r="P458" s="5"/>
      <c r="Q458" s="2" t="str">
        <f>INDEX(Table3[#All], MATCH(Table1[[#This Row],[Dept_Id]], Table3[[#All],[Dept_Id]], 0), 1)</f>
        <v>Finance</v>
      </c>
      <c r="R458" s="22" t="str">
        <f>IF(Table1[[#This Row],[Left?]] = 1, (Table1[[#This Row],[New_Last_Date]]-Table1[[#This Row],[New_DoJ]])/365.25, "")</f>
        <v/>
      </c>
      <c r="S458" s="2" cm="1">
        <f t="array" ref="S45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58" s="2" t="str">
        <f>IF(Table1[[#This Row],[New_DoJ]] &gt;= EDATE( MAX(Table1[New_DoJ]), -24), "Yes", "No")</f>
        <v>No</v>
      </c>
    </row>
    <row r="459" spans="1:20" x14ac:dyDescent="0.3">
      <c r="A459" s="4">
        <v>207996</v>
      </c>
      <c r="B459" s="5" t="s">
        <v>1171</v>
      </c>
      <c r="C459" s="5" t="s">
        <v>1172</v>
      </c>
      <c r="D459" s="5" t="s">
        <v>586</v>
      </c>
      <c r="E459" s="5" t="s">
        <v>33</v>
      </c>
      <c r="F459" s="15">
        <v>33387</v>
      </c>
      <c r="G459" s="5">
        <v>4</v>
      </c>
      <c r="H459" s="5" t="s">
        <v>17</v>
      </c>
      <c r="I459" s="5">
        <v>1</v>
      </c>
      <c r="J459" s="5" t="s">
        <v>1173</v>
      </c>
      <c r="K459" s="12">
        <v>63332</v>
      </c>
      <c r="L459" s="5" t="s">
        <v>92</v>
      </c>
      <c r="M459" s="6" t="s">
        <v>39</v>
      </c>
      <c r="N459" s="15">
        <v>20584</v>
      </c>
      <c r="O459" s="15">
        <v>33387</v>
      </c>
      <c r="P459" s="15">
        <v>35356</v>
      </c>
      <c r="Q459" s="2" t="str">
        <f>INDEX(Table3[#All], MATCH(Table1[[#This Row],[Dept_Id]], Table3[[#All],[Dept_Id]], 0), 1)</f>
        <v>Finance</v>
      </c>
      <c r="R459" s="22">
        <f>IF(Table1[[#This Row],[Left?]] = 1, (Table1[[#This Row],[New_Last_Date]]-Table1[[#This Row],[New_DoJ]])/365.25, "")</f>
        <v>5.3908281998631074</v>
      </c>
      <c r="S459" s="2" cm="1">
        <f t="array" ref="S45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59" s="2" t="str">
        <f>IF(Table1[[#This Row],[New_DoJ]] &gt;= EDATE( MAX(Table1[New_DoJ]), -24), "Yes", "No")</f>
        <v>No</v>
      </c>
    </row>
    <row r="460" spans="1:20" x14ac:dyDescent="0.3">
      <c r="A460" s="4">
        <v>10273</v>
      </c>
      <c r="B460" s="5" t="s">
        <v>1174</v>
      </c>
      <c r="C460" s="5" t="s">
        <v>1175</v>
      </c>
      <c r="D460" s="5" t="s">
        <v>1176</v>
      </c>
      <c r="E460" s="5" t="s">
        <v>16</v>
      </c>
      <c r="F460" s="15">
        <v>31357</v>
      </c>
      <c r="G460" s="5">
        <v>1</v>
      </c>
      <c r="H460" s="5" t="s">
        <v>34</v>
      </c>
      <c r="I460" s="5">
        <v>0</v>
      </c>
      <c r="J460" s="5" t="s">
        <v>24</v>
      </c>
      <c r="K460" s="12">
        <v>75148</v>
      </c>
      <c r="L460" s="5" t="s">
        <v>38</v>
      </c>
      <c r="M460" s="6" t="s">
        <v>39</v>
      </c>
      <c r="N460" s="15">
        <v>22887</v>
      </c>
      <c r="O460" s="15">
        <v>31357</v>
      </c>
      <c r="P460" s="5"/>
      <c r="Q460" s="2" t="str">
        <f>INDEX(Table3[#All], MATCH(Table1[[#This Row],[Dept_Id]], Table3[[#All],[Dept_Id]], 0), 1)</f>
        <v>Sales</v>
      </c>
      <c r="R460" s="22" t="str">
        <f>IF(Table1[[#This Row],[Left?]] = 1, (Table1[[#This Row],[New_Last_Date]]-Table1[[#This Row],[New_DoJ]])/365.25, "")</f>
        <v/>
      </c>
      <c r="S460" s="2" cm="1">
        <f t="array" ref="S46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60" s="2" t="str">
        <f>IF(Table1[[#This Row],[New_DoJ]] &gt;= EDATE( MAX(Table1[New_DoJ]), -24), "Yes", "No")</f>
        <v>No</v>
      </c>
    </row>
    <row r="461" spans="1:20" x14ac:dyDescent="0.3">
      <c r="A461" s="4">
        <v>10274</v>
      </c>
      <c r="B461" s="5" t="s">
        <v>1177</v>
      </c>
      <c r="C461" s="5" t="s">
        <v>1178</v>
      </c>
      <c r="D461" s="5" t="s">
        <v>1179</v>
      </c>
      <c r="E461" s="5" t="s">
        <v>33</v>
      </c>
      <c r="F461" s="15">
        <v>33349</v>
      </c>
      <c r="G461" s="5">
        <v>7</v>
      </c>
      <c r="H461" s="5" t="s">
        <v>29</v>
      </c>
      <c r="I461" s="5">
        <v>0</v>
      </c>
      <c r="J461" s="5" t="s">
        <v>24</v>
      </c>
      <c r="K461" s="12">
        <v>86164</v>
      </c>
      <c r="L461" s="5" t="s">
        <v>19</v>
      </c>
      <c r="M461" s="6" t="s">
        <v>50</v>
      </c>
      <c r="N461" s="15">
        <v>21055</v>
      </c>
      <c r="O461" s="15">
        <v>33349</v>
      </c>
      <c r="P461" s="5"/>
      <c r="Q461" s="2" t="str">
        <f>INDEX(Table3[#All], MATCH(Table1[[#This Row],[Dept_Id]], Table3[[#All],[Dept_Id]], 0), 1)</f>
        <v>Development</v>
      </c>
      <c r="R461" s="22" t="str">
        <f>IF(Table1[[#This Row],[Left?]] = 1, (Table1[[#This Row],[New_Last_Date]]-Table1[[#This Row],[New_DoJ]])/365.25, "")</f>
        <v/>
      </c>
      <c r="S461" s="2" cm="1">
        <f t="array" ref="S46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61" s="2" t="str">
        <f>IF(Table1[[#This Row],[New_DoJ]] &gt;= EDATE( MAX(Table1[New_DoJ]), -24), "Yes", "No")</f>
        <v>No</v>
      </c>
    </row>
    <row r="462" spans="1:20" x14ac:dyDescent="0.3">
      <c r="A462" s="4">
        <v>286451</v>
      </c>
      <c r="B462" s="5" t="s">
        <v>1180</v>
      </c>
      <c r="C462" s="5" t="s">
        <v>113</v>
      </c>
      <c r="D462" s="5" t="s">
        <v>1181</v>
      </c>
      <c r="E462" s="5" t="s">
        <v>16</v>
      </c>
      <c r="F462" s="15">
        <v>31571</v>
      </c>
      <c r="G462" s="5">
        <v>3</v>
      </c>
      <c r="H462" s="5" t="s">
        <v>34</v>
      </c>
      <c r="I462" s="5">
        <v>0</v>
      </c>
      <c r="J462" s="5" t="s">
        <v>24</v>
      </c>
      <c r="K462" s="12">
        <v>40000</v>
      </c>
      <c r="L462" s="5" t="s">
        <v>25</v>
      </c>
      <c r="M462" s="6" t="s">
        <v>20</v>
      </c>
      <c r="N462" s="15">
        <v>21956</v>
      </c>
      <c r="O462" s="15">
        <v>31571</v>
      </c>
      <c r="P462" s="5"/>
      <c r="Q462" s="2" t="str">
        <f>INDEX(Table3[#All], MATCH(Table1[[#This Row],[Dept_Id]], Table3[[#All],[Dept_Id]], 0), 1)</f>
        <v>Production</v>
      </c>
      <c r="R462" s="22" t="str">
        <f>IF(Table1[[#This Row],[Left?]] = 1, (Table1[[#This Row],[New_Last_Date]]-Table1[[#This Row],[New_DoJ]])/365.25, "")</f>
        <v/>
      </c>
      <c r="S462" s="2" cm="1">
        <f t="array" ref="S46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62" s="2" t="str">
        <f>IF(Table1[[#This Row],[New_DoJ]] &gt;= EDATE( MAX(Table1[New_DoJ]), -24), "Yes", "No")</f>
        <v>No</v>
      </c>
    </row>
    <row r="463" spans="1:20" x14ac:dyDescent="0.3">
      <c r="A463" s="4">
        <v>10275</v>
      </c>
      <c r="B463" s="5" t="s">
        <v>1182</v>
      </c>
      <c r="C463" s="5" t="s">
        <v>1183</v>
      </c>
      <c r="D463" s="5" t="s">
        <v>1184</v>
      </c>
      <c r="E463" s="5" t="s">
        <v>33</v>
      </c>
      <c r="F463" s="15">
        <v>32028</v>
      </c>
      <c r="G463" s="5">
        <v>5</v>
      </c>
      <c r="H463" s="5" t="s">
        <v>291</v>
      </c>
      <c r="I463" s="5">
        <v>1</v>
      </c>
      <c r="J463" s="5" t="s">
        <v>1185</v>
      </c>
      <c r="K463" s="12">
        <v>40000</v>
      </c>
      <c r="L463" s="5" t="s">
        <v>19</v>
      </c>
      <c r="M463" s="6" t="s">
        <v>20</v>
      </c>
      <c r="N463" s="15">
        <v>22576</v>
      </c>
      <c r="O463" s="15">
        <v>32028</v>
      </c>
      <c r="P463" s="15">
        <v>36685</v>
      </c>
      <c r="Q463" s="2" t="str">
        <f>INDEX(Table3[#All], MATCH(Table1[[#This Row],[Dept_Id]], Table3[[#All],[Dept_Id]], 0), 1)</f>
        <v>Development</v>
      </c>
      <c r="R463" s="22">
        <f>IF(Table1[[#This Row],[Left?]] = 1, (Table1[[#This Row],[New_Last_Date]]-Table1[[#This Row],[New_DoJ]])/365.25, "")</f>
        <v>12.750171115674195</v>
      </c>
      <c r="S463" s="2" cm="1">
        <f t="array" ref="S46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5</v>
      </c>
      <c r="T463" s="2" t="str">
        <f>IF(Table1[[#This Row],[New_DoJ]] &gt;= EDATE( MAX(Table1[New_DoJ]), -24), "Yes", "No")</f>
        <v>No</v>
      </c>
    </row>
    <row r="464" spans="1:20" x14ac:dyDescent="0.3">
      <c r="A464" s="4">
        <v>10276</v>
      </c>
      <c r="B464" s="5" t="s">
        <v>1186</v>
      </c>
      <c r="C464" s="5" t="s">
        <v>903</v>
      </c>
      <c r="D464" s="5" t="s">
        <v>1187</v>
      </c>
      <c r="E464" s="5" t="s">
        <v>16</v>
      </c>
      <c r="F464" s="15">
        <v>31249</v>
      </c>
      <c r="G464" s="5">
        <v>7</v>
      </c>
      <c r="H464" s="5" t="s">
        <v>115</v>
      </c>
      <c r="I464" s="5">
        <v>0</v>
      </c>
      <c r="J464" s="5" t="s">
        <v>24</v>
      </c>
      <c r="K464" s="12">
        <v>40000</v>
      </c>
      <c r="L464" s="5" t="s">
        <v>19</v>
      </c>
      <c r="M464" s="6" t="s">
        <v>20</v>
      </c>
      <c r="N464" s="15">
        <v>23585</v>
      </c>
      <c r="O464" s="15">
        <v>31249</v>
      </c>
      <c r="P464" s="5"/>
      <c r="Q464" s="2" t="str">
        <f>INDEX(Table3[#All], MATCH(Table1[[#This Row],[Dept_Id]], Table3[[#All],[Dept_Id]], 0), 1)</f>
        <v>Development</v>
      </c>
      <c r="R464" s="22" t="str">
        <f>IF(Table1[[#This Row],[Left?]] = 1, (Table1[[#This Row],[New_Last_Date]]-Table1[[#This Row],[New_DoJ]])/365.25, "")</f>
        <v/>
      </c>
      <c r="S464" s="2" cm="1">
        <f t="array" ref="S46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464" s="2" t="str">
        <f>IF(Table1[[#This Row],[New_DoJ]] &gt;= EDATE( MAX(Table1[New_DoJ]), -24), "Yes", "No")</f>
        <v>No</v>
      </c>
    </row>
    <row r="465" spans="1:20" x14ac:dyDescent="0.3">
      <c r="A465" s="4">
        <v>30871</v>
      </c>
      <c r="B465" s="5" t="s">
        <v>1188</v>
      </c>
      <c r="C465" s="5" t="s">
        <v>1189</v>
      </c>
      <c r="D465" s="5" t="s">
        <v>1190</v>
      </c>
      <c r="E465" s="5" t="s">
        <v>16</v>
      </c>
      <c r="F465" s="15">
        <v>31838</v>
      </c>
      <c r="G465" s="5">
        <v>1</v>
      </c>
      <c r="H465" s="5" t="s">
        <v>29</v>
      </c>
      <c r="I465" s="5">
        <v>0</v>
      </c>
      <c r="J465" s="5" t="s">
        <v>24</v>
      </c>
      <c r="K465" s="12">
        <v>40000</v>
      </c>
      <c r="L465" s="5" t="s">
        <v>25</v>
      </c>
      <c r="M465" s="6" t="s">
        <v>129</v>
      </c>
      <c r="N465" s="15">
        <v>21719</v>
      </c>
      <c r="O465" s="15">
        <v>31838</v>
      </c>
      <c r="P465" s="5"/>
      <c r="Q465" s="2" t="str">
        <f>INDEX(Table3[#All], MATCH(Table1[[#This Row],[Dept_Id]], Table3[[#All],[Dept_Id]], 0), 1)</f>
        <v>Production</v>
      </c>
      <c r="R465" s="22" t="str">
        <f>IF(Table1[[#This Row],[Left?]] = 1, (Table1[[#This Row],[New_Last_Date]]-Table1[[#This Row],[New_DoJ]])/365.25, "")</f>
        <v/>
      </c>
      <c r="S465" s="2" cm="1">
        <f t="array" ref="S46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65" s="2" t="str">
        <f>IF(Table1[[#This Row],[New_DoJ]] &gt;= EDATE( MAX(Table1[New_DoJ]), -24), "Yes", "No")</f>
        <v>No</v>
      </c>
    </row>
    <row r="466" spans="1:20" x14ac:dyDescent="0.3">
      <c r="A466" s="4">
        <v>10277</v>
      </c>
      <c r="B466" s="5" t="s">
        <v>1191</v>
      </c>
      <c r="C466" s="5" t="s">
        <v>1192</v>
      </c>
      <c r="D466" s="5" t="s">
        <v>1193</v>
      </c>
      <c r="E466" s="5" t="s">
        <v>16</v>
      </c>
      <c r="F466" s="15">
        <v>31214</v>
      </c>
      <c r="G466" s="5">
        <v>5</v>
      </c>
      <c r="H466" s="5" t="s">
        <v>29</v>
      </c>
      <c r="I466" s="5">
        <v>0</v>
      </c>
      <c r="J466" s="5" t="s">
        <v>24</v>
      </c>
      <c r="K466" s="12">
        <v>59534</v>
      </c>
      <c r="L466" s="5" t="s">
        <v>38</v>
      </c>
      <c r="M466" s="6" t="s">
        <v>39</v>
      </c>
      <c r="N466" s="15">
        <v>23604</v>
      </c>
      <c r="O466" s="15">
        <v>31214</v>
      </c>
      <c r="P466" s="5"/>
      <c r="Q466" s="2" t="str">
        <f>INDEX(Table3[#All], MATCH(Table1[[#This Row],[Dept_Id]], Table3[[#All],[Dept_Id]], 0), 1)</f>
        <v>Sales</v>
      </c>
      <c r="R466" s="22" t="str">
        <f>IF(Table1[[#This Row],[Left?]] = 1, (Table1[[#This Row],[New_Last_Date]]-Table1[[#This Row],[New_DoJ]])/365.25, "")</f>
        <v/>
      </c>
      <c r="S466" s="2" cm="1">
        <f t="array" ref="S46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66" s="2" t="str">
        <f>IF(Table1[[#This Row],[New_DoJ]] &gt;= EDATE( MAX(Table1[New_DoJ]), -24), "Yes", "No")</f>
        <v>No</v>
      </c>
    </row>
    <row r="467" spans="1:20" x14ac:dyDescent="0.3">
      <c r="A467" s="4">
        <v>10278</v>
      </c>
      <c r="B467" s="5" t="s">
        <v>1194</v>
      </c>
      <c r="C467" s="5" t="s">
        <v>1195</v>
      </c>
      <c r="D467" s="5" t="s">
        <v>270</v>
      </c>
      <c r="E467" s="5" t="s">
        <v>16</v>
      </c>
      <c r="F467" s="15">
        <v>33375</v>
      </c>
      <c r="G467" s="5">
        <v>9</v>
      </c>
      <c r="H467" s="5" t="s">
        <v>34</v>
      </c>
      <c r="I467" s="5">
        <v>0</v>
      </c>
      <c r="J467" s="5" t="s">
        <v>24</v>
      </c>
      <c r="K467" s="12">
        <v>51703</v>
      </c>
      <c r="L467" s="5" t="s">
        <v>19</v>
      </c>
      <c r="M467" s="6" t="s">
        <v>50</v>
      </c>
      <c r="N467" s="15">
        <v>20157</v>
      </c>
      <c r="O467" s="15">
        <v>33375</v>
      </c>
      <c r="P467" s="5"/>
      <c r="Q467" s="2" t="str">
        <f>INDEX(Table3[#All], MATCH(Table1[[#This Row],[Dept_Id]], Table3[[#All],[Dept_Id]], 0), 1)</f>
        <v>Development</v>
      </c>
      <c r="R467" s="22" t="str">
        <f>IF(Table1[[#This Row],[Left?]] = 1, (Table1[[#This Row],[New_Last_Date]]-Table1[[#This Row],[New_DoJ]])/365.25, "")</f>
        <v/>
      </c>
      <c r="S467" s="2" cm="1">
        <f t="array" ref="S46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67" s="2" t="str">
        <f>IF(Table1[[#This Row],[New_DoJ]] &gt;= EDATE( MAX(Table1[New_DoJ]), -24), "Yes", "No")</f>
        <v>No</v>
      </c>
    </row>
    <row r="468" spans="1:20" x14ac:dyDescent="0.3">
      <c r="A468" s="4">
        <v>260621</v>
      </c>
      <c r="B468" s="5" t="s">
        <v>1196</v>
      </c>
      <c r="C468" s="5" t="s">
        <v>1197</v>
      </c>
      <c r="D468" s="5" t="s">
        <v>1198</v>
      </c>
      <c r="E468" s="5" t="s">
        <v>16</v>
      </c>
      <c r="F468" s="15">
        <v>33281</v>
      </c>
      <c r="G468" s="5">
        <v>7</v>
      </c>
      <c r="H468" s="5" t="s">
        <v>115</v>
      </c>
      <c r="I468" s="5">
        <v>0</v>
      </c>
      <c r="J468" s="5" t="s">
        <v>24</v>
      </c>
      <c r="K468" s="12">
        <v>54758</v>
      </c>
      <c r="L468" s="5" t="s">
        <v>25</v>
      </c>
      <c r="M468" s="6" t="s">
        <v>20</v>
      </c>
      <c r="N468" s="15">
        <v>19481</v>
      </c>
      <c r="O468" s="15">
        <v>33281</v>
      </c>
      <c r="P468" s="5"/>
      <c r="Q468" s="2" t="str">
        <f>INDEX(Table3[#All], MATCH(Table1[[#This Row],[Dept_Id]], Table3[[#All],[Dept_Id]], 0), 1)</f>
        <v>Production</v>
      </c>
      <c r="R468" s="22" t="str">
        <f>IF(Table1[[#This Row],[Left?]] = 1, (Table1[[#This Row],[New_Last_Date]]-Table1[[#This Row],[New_DoJ]])/365.25, "")</f>
        <v/>
      </c>
      <c r="S468" s="2" cm="1">
        <f t="array" ref="S46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468" s="2" t="str">
        <f>IF(Table1[[#This Row],[New_DoJ]] &gt;= EDATE( MAX(Table1[New_DoJ]), -24), "Yes", "No")</f>
        <v>No</v>
      </c>
    </row>
    <row r="469" spans="1:20" x14ac:dyDescent="0.3">
      <c r="A469" s="4">
        <v>10279</v>
      </c>
      <c r="B469" s="5" t="s">
        <v>1199</v>
      </c>
      <c r="C469" s="5" t="s">
        <v>1200</v>
      </c>
      <c r="D469" s="5" t="s">
        <v>1201</v>
      </c>
      <c r="E469" s="5" t="s">
        <v>33</v>
      </c>
      <c r="F469" s="15">
        <v>34688</v>
      </c>
      <c r="G469" s="5">
        <v>10</v>
      </c>
      <c r="H469" s="5" t="s">
        <v>115</v>
      </c>
      <c r="I469" s="5">
        <v>0</v>
      </c>
      <c r="J469" s="5" t="s">
        <v>24</v>
      </c>
      <c r="K469" s="12">
        <v>40000</v>
      </c>
      <c r="L469" s="5" t="s">
        <v>25</v>
      </c>
      <c r="M469" s="6" t="s">
        <v>50</v>
      </c>
      <c r="N469" s="15">
        <v>23609</v>
      </c>
      <c r="O469" s="15">
        <v>34688</v>
      </c>
      <c r="P469" s="5"/>
      <c r="Q469" s="2" t="str">
        <f>INDEX(Table3[#All], MATCH(Table1[[#This Row],[Dept_Id]], Table3[[#All],[Dept_Id]], 0), 1)</f>
        <v>Production</v>
      </c>
      <c r="R469" s="22" t="str">
        <f>IF(Table1[[#This Row],[Left?]] = 1, (Table1[[#This Row],[New_Last_Date]]-Table1[[#This Row],[New_DoJ]])/365.25, "")</f>
        <v/>
      </c>
      <c r="S469" s="2" cm="1">
        <f t="array" ref="S46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469" s="2" t="str">
        <f>IF(Table1[[#This Row],[New_DoJ]] &gt;= EDATE( MAX(Table1[New_DoJ]), -24), "Yes", "No")</f>
        <v>No</v>
      </c>
    </row>
    <row r="470" spans="1:20" x14ac:dyDescent="0.3">
      <c r="A470" s="4">
        <v>10279</v>
      </c>
      <c r="B470" s="5" t="s">
        <v>1199</v>
      </c>
      <c r="C470" s="5" t="s">
        <v>1200</v>
      </c>
      <c r="D470" s="5" t="s">
        <v>1201</v>
      </c>
      <c r="E470" s="5" t="s">
        <v>33</v>
      </c>
      <c r="F470" s="15">
        <v>34688</v>
      </c>
      <c r="G470" s="5">
        <v>10</v>
      </c>
      <c r="H470" s="5" t="s">
        <v>115</v>
      </c>
      <c r="I470" s="5">
        <v>0</v>
      </c>
      <c r="J470" s="5" t="s">
        <v>24</v>
      </c>
      <c r="K470" s="12">
        <v>40000</v>
      </c>
      <c r="L470" s="5" t="s">
        <v>77</v>
      </c>
      <c r="M470" s="6" t="s">
        <v>50</v>
      </c>
      <c r="N470" s="15">
        <v>23609</v>
      </c>
      <c r="O470" s="15">
        <v>34688</v>
      </c>
      <c r="P470" s="5"/>
      <c r="Q470" s="2" t="str">
        <f>INDEX(Table3[#All], MATCH(Table1[[#This Row],[Dept_Id]], Table3[[#All],[Dept_Id]], 0), 1)</f>
        <v>Customer Service</v>
      </c>
      <c r="R470" s="22" t="str">
        <f>IF(Table1[[#This Row],[Left?]] = 1, (Table1[[#This Row],[New_Last_Date]]-Table1[[#This Row],[New_DoJ]])/365.25, "")</f>
        <v/>
      </c>
      <c r="S470" s="2" cm="1">
        <f t="array" ref="S47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470" s="2" t="str">
        <f>IF(Table1[[#This Row],[New_DoJ]] &gt;= EDATE( MAX(Table1[New_DoJ]), -24), "Yes", "No")</f>
        <v>No</v>
      </c>
    </row>
    <row r="471" spans="1:20" x14ac:dyDescent="0.3">
      <c r="A471" s="4">
        <v>24103</v>
      </c>
      <c r="B471" s="5" t="s">
        <v>1202</v>
      </c>
      <c r="C471" s="5" t="s">
        <v>446</v>
      </c>
      <c r="D471" s="5" t="s">
        <v>1203</v>
      </c>
      <c r="E471" s="5" t="s">
        <v>16</v>
      </c>
      <c r="F471" s="15">
        <v>31133</v>
      </c>
      <c r="G471" s="5">
        <v>4</v>
      </c>
      <c r="H471" s="5" t="s">
        <v>29</v>
      </c>
      <c r="I471" s="5">
        <v>0</v>
      </c>
      <c r="J471" s="5" t="s">
        <v>24</v>
      </c>
      <c r="K471" s="12">
        <v>40000</v>
      </c>
      <c r="L471" s="5" t="s">
        <v>77</v>
      </c>
      <c r="M471" s="6" t="s">
        <v>39</v>
      </c>
      <c r="N471" s="15">
        <v>19875</v>
      </c>
      <c r="O471" s="15">
        <v>31133</v>
      </c>
      <c r="P471" s="5"/>
      <c r="Q471" s="2" t="str">
        <f>INDEX(Table3[#All], MATCH(Table1[[#This Row],[Dept_Id]], Table3[[#All],[Dept_Id]], 0), 1)</f>
        <v>Customer Service</v>
      </c>
      <c r="R471" s="22" t="str">
        <f>IF(Table1[[#This Row],[Left?]] = 1, (Table1[[#This Row],[New_Last_Date]]-Table1[[#This Row],[New_DoJ]])/365.25, "")</f>
        <v/>
      </c>
      <c r="S471" s="2" cm="1">
        <f t="array" ref="S47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71" s="2" t="str">
        <f>IF(Table1[[#This Row],[New_DoJ]] &gt;= EDATE( MAX(Table1[New_DoJ]), -24), "Yes", "No")</f>
        <v>No</v>
      </c>
    </row>
    <row r="472" spans="1:20" x14ac:dyDescent="0.3">
      <c r="A472" s="4">
        <v>10280</v>
      </c>
      <c r="B472" s="5" t="s">
        <v>1204</v>
      </c>
      <c r="C472" s="5" t="s">
        <v>792</v>
      </c>
      <c r="D472" s="5" t="s">
        <v>1205</v>
      </c>
      <c r="E472" s="5" t="s">
        <v>16</v>
      </c>
      <c r="F472" s="15">
        <v>32220</v>
      </c>
      <c r="G472" s="5">
        <v>2</v>
      </c>
      <c r="H472" s="5" t="s">
        <v>29</v>
      </c>
      <c r="I472" s="5">
        <v>0</v>
      </c>
      <c r="J472" s="5" t="s">
        <v>24</v>
      </c>
      <c r="K472" s="12">
        <v>66695</v>
      </c>
      <c r="L472" s="5" t="s">
        <v>43</v>
      </c>
      <c r="M472" s="6" t="s">
        <v>39</v>
      </c>
      <c r="N472" s="15">
        <v>23679</v>
      </c>
      <c r="O472" s="15">
        <v>32220</v>
      </c>
      <c r="P472" s="5"/>
      <c r="Q472" s="2" t="str">
        <f>INDEX(Table3[#All], MATCH(Table1[[#This Row],[Dept_Id]], Table3[[#All],[Dept_Id]], 0), 1)</f>
        <v>Human Resources</v>
      </c>
      <c r="R472" s="22" t="str">
        <f>IF(Table1[[#This Row],[Left?]] = 1, (Table1[[#This Row],[New_Last_Date]]-Table1[[#This Row],[New_DoJ]])/365.25, "")</f>
        <v/>
      </c>
      <c r="S472" s="2" cm="1">
        <f t="array" ref="S47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72" s="2" t="str">
        <f>IF(Table1[[#This Row],[New_DoJ]] &gt;= EDATE( MAX(Table1[New_DoJ]), -24), "Yes", "No")</f>
        <v>No</v>
      </c>
    </row>
    <row r="473" spans="1:20" x14ac:dyDescent="0.3">
      <c r="A473" s="4">
        <v>10281</v>
      </c>
      <c r="B473" s="5" t="s">
        <v>1206</v>
      </c>
      <c r="C473" s="5" t="s">
        <v>1207</v>
      </c>
      <c r="D473" s="5" t="s">
        <v>1208</v>
      </c>
      <c r="E473" s="5" t="s">
        <v>16</v>
      </c>
      <c r="F473" s="15">
        <v>34671</v>
      </c>
      <c r="G473" s="5">
        <v>8</v>
      </c>
      <c r="H473" s="5" t="s">
        <v>34</v>
      </c>
      <c r="I473" s="5">
        <v>0</v>
      </c>
      <c r="J473" s="5" t="s">
        <v>24</v>
      </c>
      <c r="K473" s="12">
        <v>46123</v>
      </c>
      <c r="L473" s="5" t="s">
        <v>63</v>
      </c>
      <c r="M473" s="6" t="s">
        <v>20</v>
      </c>
      <c r="N473" s="15">
        <v>19492</v>
      </c>
      <c r="O473" s="15">
        <v>34671</v>
      </c>
      <c r="P473" s="5"/>
      <c r="Q473" s="2" t="str">
        <f>INDEX(Table3[#All], MATCH(Table1[[#This Row],[Dept_Id]], Table3[[#All],[Dept_Id]], 0), 1)</f>
        <v>Quality Management</v>
      </c>
      <c r="R473" s="22" t="str">
        <f>IF(Table1[[#This Row],[Left?]] = 1, (Table1[[#This Row],[New_Last_Date]]-Table1[[#This Row],[New_DoJ]])/365.25, "")</f>
        <v/>
      </c>
      <c r="S473" s="2" cm="1">
        <f t="array" ref="S47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73" s="2" t="str">
        <f>IF(Table1[[#This Row],[New_DoJ]] &gt;= EDATE( MAX(Table1[New_DoJ]), -24), "Yes", "No")</f>
        <v>No</v>
      </c>
    </row>
    <row r="474" spans="1:20" x14ac:dyDescent="0.3">
      <c r="A474" s="4">
        <v>78524</v>
      </c>
      <c r="B474" s="5" t="s">
        <v>1209</v>
      </c>
      <c r="C474" s="5" t="s">
        <v>1210</v>
      </c>
      <c r="D474" s="5" t="s">
        <v>1211</v>
      </c>
      <c r="E474" s="5" t="s">
        <v>33</v>
      </c>
      <c r="F474" s="15">
        <v>32366</v>
      </c>
      <c r="G474" s="5">
        <v>5</v>
      </c>
      <c r="H474" s="5" t="s">
        <v>34</v>
      </c>
      <c r="I474" s="5">
        <v>1</v>
      </c>
      <c r="J474" s="5" t="s">
        <v>1212</v>
      </c>
      <c r="K474" s="12">
        <v>63123</v>
      </c>
      <c r="L474" s="5" t="s">
        <v>38</v>
      </c>
      <c r="M474" s="6" t="s">
        <v>39</v>
      </c>
      <c r="N474" s="15">
        <v>19852</v>
      </c>
      <c r="O474" s="15">
        <v>32366</v>
      </c>
      <c r="P474" s="15">
        <v>36721</v>
      </c>
      <c r="Q474" s="2" t="str">
        <f>INDEX(Table3[#All], MATCH(Table1[[#This Row],[Dept_Id]], Table3[[#All],[Dept_Id]], 0), 1)</f>
        <v>Sales</v>
      </c>
      <c r="R474" s="22">
        <f>IF(Table1[[#This Row],[Left?]] = 1, (Table1[[#This Row],[New_Last_Date]]-Table1[[#This Row],[New_DoJ]])/365.25, "")</f>
        <v>11.9233401779603</v>
      </c>
      <c r="S474" s="2" cm="1">
        <f t="array" ref="S47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74" s="2" t="str">
        <f>IF(Table1[[#This Row],[New_DoJ]] &gt;= EDATE( MAX(Table1[New_DoJ]), -24), "Yes", "No")</f>
        <v>No</v>
      </c>
    </row>
    <row r="475" spans="1:20" x14ac:dyDescent="0.3">
      <c r="A475" s="4">
        <v>10282</v>
      </c>
      <c r="B475" s="5" t="s">
        <v>1213</v>
      </c>
      <c r="C475" s="5" t="s">
        <v>1214</v>
      </c>
      <c r="D475" s="5" t="s">
        <v>1215</v>
      </c>
      <c r="E475" s="5" t="s">
        <v>16</v>
      </c>
      <c r="F475" s="15">
        <v>31567</v>
      </c>
      <c r="G475" s="5">
        <v>8</v>
      </c>
      <c r="H475" s="5" t="s">
        <v>29</v>
      </c>
      <c r="I475" s="5">
        <v>0</v>
      </c>
      <c r="J475" s="5" t="s">
        <v>24</v>
      </c>
      <c r="K475" s="12">
        <v>40000</v>
      </c>
      <c r="L475" s="5" t="s">
        <v>25</v>
      </c>
      <c r="M475" s="6" t="s">
        <v>50</v>
      </c>
      <c r="N475" s="15">
        <v>19690</v>
      </c>
      <c r="O475" s="15">
        <v>31567</v>
      </c>
      <c r="P475" s="5"/>
      <c r="Q475" s="2" t="str">
        <f>INDEX(Table3[#All], MATCH(Table1[[#This Row],[Dept_Id]], Table3[[#All],[Dept_Id]], 0), 1)</f>
        <v>Production</v>
      </c>
      <c r="R475" s="22" t="str">
        <f>IF(Table1[[#This Row],[Left?]] = 1, (Table1[[#This Row],[New_Last_Date]]-Table1[[#This Row],[New_DoJ]])/365.25, "")</f>
        <v/>
      </c>
      <c r="S475" s="2" cm="1">
        <f t="array" ref="S47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75" s="2" t="str">
        <f>IF(Table1[[#This Row],[New_DoJ]] &gt;= EDATE( MAX(Table1[New_DoJ]), -24), "Yes", "No")</f>
        <v>No</v>
      </c>
    </row>
    <row r="476" spans="1:20" x14ac:dyDescent="0.3">
      <c r="A476" s="4">
        <v>10283</v>
      </c>
      <c r="B476" s="5" t="s">
        <v>1216</v>
      </c>
      <c r="C476" s="5" t="s">
        <v>674</v>
      </c>
      <c r="D476" s="5" t="s">
        <v>1217</v>
      </c>
      <c r="E476" s="5" t="s">
        <v>16</v>
      </c>
      <c r="F476" s="15">
        <v>32288</v>
      </c>
      <c r="G476" s="5">
        <v>2</v>
      </c>
      <c r="H476" s="5" t="s">
        <v>17</v>
      </c>
      <c r="I476" s="5">
        <v>1</v>
      </c>
      <c r="J476" s="5" t="s">
        <v>1218</v>
      </c>
      <c r="K476" s="12">
        <v>40000</v>
      </c>
      <c r="L476" s="5" t="s">
        <v>19</v>
      </c>
      <c r="M476" s="6" t="s">
        <v>20</v>
      </c>
      <c r="N476" s="15">
        <v>19548</v>
      </c>
      <c r="O476" s="15">
        <v>32288</v>
      </c>
      <c r="P476" s="15">
        <v>34196</v>
      </c>
      <c r="Q476" s="2" t="str">
        <f>INDEX(Table3[#All], MATCH(Table1[[#This Row],[Dept_Id]], Table3[[#All],[Dept_Id]], 0), 1)</f>
        <v>Development</v>
      </c>
      <c r="R476" s="22">
        <f>IF(Table1[[#This Row],[Left?]] = 1, (Table1[[#This Row],[New_Last_Date]]-Table1[[#This Row],[New_DoJ]])/365.25, "")</f>
        <v>5.2238193018480494</v>
      </c>
      <c r="S476" s="2" cm="1">
        <f t="array" ref="S47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76" s="2" t="str">
        <f>IF(Table1[[#This Row],[New_DoJ]] &gt;= EDATE( MAX(Table1[New_DoJ]), -24), "Yes", "No")</f>
        <v>No</v>
      </c>
    </row>
    <row r="477" spans="1:20" x14ac:dyDescent="0.3">
      <c r="A477" s="4">
        <v>10284</v>
      </c>
      <c r="B477" s="5" t="s">
        <v>1219</v>
      </c>
      <c r="C477" s="5" t="s">
        <v>314</v>
      </c>
      <c r="D477" s="5" t="s">
        <v>1220</v>
      </c>
      <c r="E477" s="5" t="s">
        <v>33</v>
      </c>
      <c r="F477" s="15">
        <v>35613</v>
      </c>
      <c r="G477" s="5">
        <v>6</v>
      </c>
      <c r="H477" s="5" t="s">
        <v>17</v>
      </c>
      <c r="I477" s="5">
        <v>0</v>
      </c>
      <c r="J477" s="5" t="s">
        <v>24</v>
      </c>
      <c r="K477" s="12">
        <v>40000</v>
      </c>
      <c r="L477" s="5" t="s">
        <v>25</v>
      </c>
      <c r="M477" s="6" t="s">
        <v>50</v>
      </c>
      <c r="N477" s="15">
        <v>19822</v>
      </c>
      <c r="O477" s="15">
        <v>35613</v>
      </c>
      <c r="P477" s="5"/>
      <c r="Q477" s="2" t="str">
        <f>INDEX(Table3[#All], MATCH(Table1[[#This Row],[Dept_Id]], Table3[[#All],[Dept_Id]], 0), 1)</f>
        <v>Production</v>
      </c>
      <c r="R477" s="22" t="str">
        <f>IF(Table1[[#This Row],[Left?]] = 1, (Table1[[#This Row],[New_Last_Date]]-Table1[[#This Row],[New_DoJ]])/365.25, "")</f>
        <v/>
      </c>
      <c r="S477" s="2" cm="1">
        <f t="array" ref="S47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77" s="2" t="str">
        <f>IF(Table1[[#This Row],[New_DoJ]] &gt;= EDATE( MAX(Table1[New_DoJ]), -24), "Yes", "No")</f>
        <v>No</v>
      </c>
    </row>
    <row r="478" spans="1:20" x14ac:dyDescent="0.3">
      <c r="A478" s="4">
        <v>10285</v>
      </c>
      <c r="B478" s="5" t="s">
        <v>1221</v>
      </c>
      <c r="C478" s="5" t="s">
        <v>464</v>
      </c>
      <c r="D478" s="5" t="s">
        <v>32</v>
      </c>
      <c r="E478" s="5" t="s">
        <v>33</v>
      </c>
      <c r="F478" s="15">
        <v>34757</v>
      </c>
      <c r="G478" s="5">
        <v>5</v>
      </c>
      <c r="H478" s="5" t="s">
        <v>29</v>
      </c>
      <c r="I478" s="5">
        <v>0</v>
      </c>
      <c r="J478" s="5" t="s">
        <v>24</v>
      </c>
      <c r="K478" s="12">
        <v>62075</v>
      </c>
      <c r="L478" s="5" t="s">
        <v>55</v>
      </c>
      <c r="M478" s="6" t="s">
        <v>39</v>
      </c>
      <c r="N478" s="15">
        <v>20719</v>
      </c>
      <c r="O478" s="15">
        <v>34757</v>
      </c>
      <c r="P478" s="5"/>
      <c r="Q478" s="2" t="str">
        <f>INDEX(Table3[#All], MATCH(Table1[[#This Row],[Dept_Id]], Table3[[#All],[Dept_Id]], 0), 1)</f>
        <v>Research</v>
      </c>
      <c r="R478" s="22" t="str">
        <f>IF(Table1[[#This Row],[Left?]] = 1, (Table1[[#This Row],[New_Last_Date]]-Table1[[#This Row],[New_DoJ]])/365.25, "")</f>
        <v/>
      </c>
      <c r="S478" s="2" cm="1">
        <f t="array" ref="S47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78" s="2" t="str">
        <f>IF(Table1[[#This Row],[New_DoJ]] &gt;= EDATE( MAX(Table1[New_DoJ]), -24), "Yes", "No")</f>
        <v>No</v>
      </c>
    </row>
    <row r="479" spans="1:20" x14ac:dyDescent="0.3">
      <c r="A479" s="4">
        <v>239616</v>
      </c>
      <c r="B479" s="5" t="s">
        <v>1222</v>
      </c>
      <c r="C479" s="5" t="s">
        <v>677</v>
      </c>
      <c r="D479" s="5" t="s">
        <v>1223</v>
      </c>
      <c r="E479" s="5" t="s">
        <v>16</v>
      </c>
      <c r="F479" s="15">
        <v>32962</v>
      </c>
      <c r="G479" s="5">
        <v>9</v>
      </c>
      <c r="H479" s="5" t="s">
        <v>29</v>
      </c>
      <c r="I479" s="5">
        <v>0</v>
      </c>
      <c r="J479" s="5" t="s">
        <v>24</v>
      </c>
      <c r="K479" s="12">
        <v>48836</v>
      </c>
      <c r="L479" s="5" t="s">
        <v>25</v>
      </c>
      <c r="M479" s="6" t="s">
        <v>129</v>
      </c>
      <c r="N479" s="15">
        <v>20129</v>
      </c>
      <c r="O479" s="15">
        <v>32962</v>
      </c>
      <c r="P479" s="5"/>
      <c r="Q479" s="2" t="str">
        <f>INDEX(Table3[#All], MATCH(Table1[[#This Row],[Dept_Id]], Table3[[#All],[Dept_Id]], 0), 1)</f>
        <v>Production</v>
      </c>
      <c r="R479" s="22" t="str">
        <f>IF(Table1[[#This Row],[Left?]] = 1, (Table1[[#This Row],[New_Last_Date]]-Table1[[#This Row],[New_DoJ]])/365.25, "")</f>
        <v/>
      </c>
      <c r="S479" s="2" cm="1">
        <f t="array" ref="S47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79" s="2" t="str">
        <f>IF(Table1[[#This Row],[New_DoJ]] &gt;= EDATE( MAX(Table1[New_DoJ]), -24), "Yes", "No")</f>
        <v>No</v>
      </c>
    </row>
    <row r="480" spans="1:20" x14ac:dyDescent="0.3">
      <c r="A480" s="4">
        <v>239616</v>
      </c>
      <c r="B480" s="5" t="s">
        <v>1222</v>
      </c>
      <c r="C480" s="5" t="s">
        <v>677</v>
      </c>
      <c r="D480" s="5" t="s">
        <v>1223</v>
      </c>
      <c r="E480" s="5" t="s">
        <v>16</v>
      </c>
      <c r="F480" s="15">
        <v>32962</v>
      </c>
      <c r="G480" s="5">
        <v>9</v>
      </c>
      <c r="H480" s="5" t="s">
        <v>29</v>
      </c>
      <c r="I480" s="5">
        <v>0</v>
      </c>
      <c r="J480" s="5" t="s">
        <v>24</v>
      </c>
      <c r="K480" s="12">
        <v>48836</v>
      </c>
      <c r="L480" s="5" t="s">
        <v>19</v>
      </c>
      <c r="M480" s="6" t="s">
        <v>129</v>
      </c>
      <c r="N480" s="15">
        <v>20129</v>
      </c>
      <c r="O480" s="15">
        <v>32962</v>
      </c>
      <c r="P480" s="5"/>
      <c r="Q480" s="2" t="str">
        <f>INDEX(Table3[#All], MATCH(Table1[[#This Row],[Dept_Id]], Table3[[#All],[Dept_Id]], 0), 1)</f>
        <v>Development</v>
      </c>
      <c r="R480" s="22" t="str">
        <f>IF(Table1[[#This Row],[Left?]] = 1, (Table1[[#This Row],[New_Last_Date]]-Table1[[#This Row],[New_DoJ]])/365.25, "")</f>
        <v/>
      </c>
      <c r="S480" s="2" cm="1">
        <f t="array" ref="S48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80" s="2" t="str">
        <f>IF(Table1[[#This Row],[New_DoJ]] &gt;= EDATE( MAX(Table1[New_DoJ]), -24), "Yes", "No")</f>
        <v>No</v>
      </c>
    </row>
    <row r="481" spans="1:20" x14ac:dyDescent="0.3">
      <c r="A481" s="4">
        <v>10286</v>
      </c>
      <c r="B481" s="5" t="s">
        <v>1224</v>
      </c>
      <c r="C481" s="5" t="s">
        <v>1225</v>
      </c>
      <c r="D481" s="5" t="s">
        <v>1226</v>
      </c>
      <c r="E481" s="5" t="s">
        <v>33</v>
      </c>
      <c r="F481" s="15">
        <v>32223</v>
      </c>
      <c r="G481" s="5">
        <v>10</v>
      </c>
      <c r="H481" s="5" t="s">
        <v>29</v>
      </c>
      <c r="I481" s="5">
        <v>1</v>
      </c>
      <c r="J481" s="5" t="s">
        <v>1227</v>
      </c>
      <c r="K481" s="12">
        <v>40000</v>
      </c>
      <c r="L481" s="5" t="s">
        <v>77</v>
      </c>
      <c r="M481" s="6" t="s">
        <v>39</v>
      </c>
      <c r="N481" s="15">
        <v>19128</v>
      </c>
      <c r="O481" s="15">
        <v>32223</v>
      </c>
      <c r="P481" s="15">
        <v>34406</v>
      </c>
      <c r="Q481" s="2" t="str">
        <f>INDEX(Table3[#All], MATCH(Table1[[#This Row],[Dept_Id]], Table3[[#All],[Dept_Id]], 0), 1)</f>
        <v>Customer Service</v>
      </c>
      <c r="R481" s="22">
        <f>IF(Table1[[#This Row],[Left?]] = 1, (Table1[[#This Row],[New_Last_Date]]-Table1[[#This Row],[New_DoJ]])/365.25, "")</f>
        <v>5.976728268309377</v>
      </c>
      <c r="S481" s="2" cm="1">
        <f t="array" ref="S48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81" s="2" t="str">
        <f>IF(Table1[[#This Row],[New_DoJ]] &gt;= EDATE( MAX(Table1[New_DoJ]), -24), "Yes", "No")</f>
        <v>No</v>
      </c>
    </row>
    <row r="482" spans="1:20" x14ac:dyDescent="0.3">
      <c r="A482" s="4">
        <v>10287</v>
      </c>
      <c r="B482" s="5" t="s">
        <v>1228</v>
      </c>
      <c r="C482" s="5" t="s">
        <v>1081</v>
      </c>
      <c r="D482" s="5" t="s">
        <v>635</v>
      </c>
      <c r="E482" s="5" t="s">
        <v>16</v>
      </c>
      <c r="F482" s="15">
        <v>33966</v>
      </c>
      <c r="G482" s="5">
        <v>6</v>
      </c>
      <c r="H482" s="5" t="s">
        <v>34</v>
      </c>
      <c r="I482" s="5">
        <v>0</v>
      </c>
      <c r="J482" s="5" t="s">
        <v>24</v>
      </c>
      <c r="K482" s="12">
        <v>55732</v>
      </c>
      <c r="L482" s="5" t="s">
        <v>19</v>
      </c>
      <c r="M482" s="6" t="s">
        <v>39</v>
      </c>
      <c r="N482" s="15">
        <v>23343</v>
      </c>
      <c r="O482" s="15">
        <v>33966</v>
      </c>
      <c r="P482" s="5"/>
      <c r="Q482" s="2" t="str">
        <f>INDEX(Table3[#All], MATCH(Table1[[#This Row],[Dept_Id]], Table3[[#All],[Dept_Id]], 0), 1)</f>
        <v>Development</v>
      </c>
      <c r="R482" s="22" t="str">
        <f>IF(Table1[[#This Row],[Left?]] = 1, (Table1[[#This Row],[New_Last_Date]]-Table1[[#This Row],[New_DoJ]])/365.25, "")</f>
        <v/>
      </c>
      <c r="S482" s="2" cm="1">
        <f t="array" ref="S48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82" s="2" t="str">
        <f>IF(Table1[[#This Row],[New_DoJ]] &gt;= EDATE( MAX(Table1[New_DoJ]), -24), "Yes", "No")</f>
        <v>No</v>
      </c>
    </row>
    <row r="483" spans="1:20" x14ac:dyDescent="0.3">
      <c r="A483" s="4">
        <v>10287</v>
      </c>
      <c r="B483" s="5" t="s">
        <v>1228</v>
      </c>
      <c r="C483" s="5" t="s">
        <v>1081</v>
      </c>
      <c r="D483" s="5" t="s">
        <v>635</v>
      </c>
      <c r="E483" s="5" t="s">
        <v>16</v>
      </c>
      <c r="F483" s="15">
        <v>33966</v>
      </c>
      <c r="G483" s="5">
        <v>6</v>
      </c>
      <c r="H483" s="5" t="s">
        <v>34</v>
      </c>
      <c r="I483" s="5">
        <v>0</v>
      </c>
      <c r="J483" s="5" t="s">
        <v>24</v>
      </c>
      <c r="K483" s="12">
        <v>55732</v>
      </c>
      <c r="L483" s="5" t="s">
        <v>55</v>
      </c>
      <c r="M483" s="6" t="s">
        <v>39</v>
      </c>
      <c r="N483" s="15">
        <v>23343</v>
      </c>
      <c r="O483" s="15">
        <v>33966</v>
      </c>
      <c r="P483" s="5"/>
      <c r="Q483" s="2" t="str">
        <f>INDEX(Table3[#All], MATCH(Table1[[#This Row],[Dept_Id]], Table3[[#All],[Dept_Id]], 0), 1)</f>
        <v>Research</v>
      </c>
      <c r="R483" s="22" t="str">
        <f>IF(Table1[[#This Row],[Left?]] = 1, (Table1[[#This Row],[New_Last_Date]]-Table1[[#This Row],[New_DoJ]])/365.25, "")</f>
        <v/>
      </c>
      <c r="S483" s="2" cm="1">
        <f t="array" ref="S48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83" s="2" t="str">
        <f>IF(Table1[[#This Row],[New_DoJ]] &gt;= EDATE( MAX(Table1[New_DoJ]), -24), "Yes", "No")</f>
        <v>No</v>
      </c>
    </row>
    <row r="484" spans="1:20" x14ac:dyDescent="0.3">
      <c r="A484" s="4">
        <v>469619</v>
      </c>
      <c r="B484" s="5" t="s">
        <v>1229</v>
      </c>
      <c r="C484" s="5" t="s">
        <v>1230</v>
      </c>
      <c r="D484" s="5" t="s">
        <v>1231</v>
      </c>
      <c r="E484" s="5" t="s">
        <v>16</v>
      </c>
      <c r="F484" s="15">
        <v>32843</v>
      </c>
      <c r="G484" s="5">
        <v>8</v>
      </c>
      <c r="H484" s="5" t="s">
        <v>17</v>
      </c>
      <c r="I484" s="5">
        <v>0</v>
      </c>
      <c r="J484" s="5" t="s">
        <v>24</v>
      </c>
      <c r="K484" s="12">
        <v>47456</v>
      </c>
      <c r="L484" s="5" t="s">
        <v>25</v>
      </c>
      <c r="M484" s="6" t="s">
        <v>20</v>
      </c>
      <c r="N484" s="15">
        <v>20349</v>
      </c>
      <c r="O484" s="15">
        <v>32843</v>
      </c>
      <c r="P484" s="5"/>
      <c r="Q484" s="2" t="str">
        <f>INDEX(Table3[#All], MATCH(Table1[[#This Row],[Dept_Id]], Table3[[#All],[Dept_Id]], 0), 1)</f>
        <v>Production</v>
      </c>
      <c r="R484" s="22" t="str">
        <f>IF(Table1[[#This Row],[Left?]] = 1, (Table1[[#This Row],[New_Last_Date]]-Table1[[#This Row],[New_DoJ]])/365.25, "")</f>
        <v/>
      </c>
      <c r="S484" s="2" cm="1">
        <f t="array" ref="S48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84" s="2" t="str">
        <f>IF(Table1[[#This Row],[New_DoJ]] &gt;= EDATE( MAX(Table1[New_DoJ]), -24), "Yes", "No")</f>
        <v>No</v>
      </c>
    </row>
    <row r="485" spans="1:20" x14ac:dyDescent="0.3">
      <c r="A485" s="4">
        <v>10288</v>
      </c>
      <c r="B485" s="5" t="s">
        <v>1232</v>
      </c>
      <c r="C485" s="5" t="s">
        <v>1233</v>
      </c>
      <c r="D485" s="5" t="s">
        <v>1234</v>
      </c>
      <c r="E485" s="5" t="s">
        <v>16</v>
      </c>
      <c r="F485" s="15">
        <v>34575</v>
      </c>
      <c r="G485" s="5">
        <v>8</v>
      </c>
      <c r="H485" s="5" t="s">
        <v>17</v>
      </c>
      <c r="I485" s="5">
        <v>0</v>
      </c>
      <c r="J485" s="5" t="s">
        <v>24</v>
      </c>
      <c r="K485" s="12">
        <v>80474</v>
      </c>
      <c r="L485" s="5" t="s">
        <v>25</v>
      </c>
      <c r="M485" s="6" t="s">
        <v>129</v>
      </c>
      <c r="N485" s="15">
        <v>21703</v>
      </c>
      <c r="O485" s="15">
        <v>34575</v>
      </c>
      <c r="P485" s="5"/>
      <c r="Q485" s="2" t="str">
        <f>INDEX(Table3[#All], MATCH(Table1[[#This Row],[Dept_Id]], Table3[[#All],[Dept_Id]], 0), 1)</f>
        <v>Production</v>
      </c>
      <c r="R485" s="22" t="str">
        <f>IF(Table1[[#This Row],[Left?]] = 1, (Table1[[#This Row],[New_Last_Date]]-Table1[[#This Row],[New_DoJ]])/365.25, "")</f>
        <v/>
      </c>
      <c r="S485" s="2" cm="1">
        <f t="array" ref="S48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85" s="2" t="str">
        <f>IF(Table1[[#This Row],[New_DoJ]] &gt;= EDATE( MAX(Table1[New_DoJ]), -24), "Yes", "No")</f>
        <v>No</v>
      </c>
    </row>
    <row r="486" spans="1:20" x14ac:dyDescent="0.3">
      <c r="A486" s="4">
        <v>36372</v>
      </c>
      <c r="B486" s="5" t="s">
        <v>1235</v>
      </c>
      <c r="C486" s="5" t="s">
        <v>1236</v>
      </c>
      <c r="D486" s="5" t="s">
        <v>1237</v>
      </c>
      <c r="E486" s="5" t="s">
        <v>33</v>
      </c>
      <c r="F486" s="15">
        <v>33784</v>
      </c>
      <c r="G486" s="5">
        <v>4</v>
      </c>
      <c r="H486" s="5" t="s">
        <v>115</v>
      </c>
      <c r="I486" s="5">
        <v>0</v>
      </c>
      <c r="J486" s="5" t="s">
        <v>24</v>
      </c>
      <c r="K486" s="12">
        <v>74338</v>
      </c>
      <c r="L486" s="5" t="s">
        <v>38</v>
      </c>
      <c r="M486" s="6" t="s">
        <v>87</v>
      </c>
      <c r="N486" s="15">
        <v>19564</v>
      </c>
      <c r="O486" s="15">
        <v>33784</v>
      </c>
      <c r="P486" s="5"/>
      <c r="Q486" s="2" t="str">
        <f>INDEX(Table3[#All], MATCH(Table1[[#This Row],[Dept_Id]], Table3[[#All],[Dept_Id]], 0), 1)</f>
        <v>Sales</v>
      </c>
      <c r="R486" s="22" t="str">
        <f>IF(Table1[[#This Row],[Left?]] = 1, (Table1[[#This Row],[New_Last_Date]]-Table1[[#This Row],[New_DoJ]])/365.25, "")</f>
        <v/>
      </c>
      <c r="S486" s="2" cm="1">
        <f t="array" ref="S48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486" s="2" t="str">
        <f>IF(Table1[[#This Row],[New_DoJ]] &gt;= EDATE( MAX(Table1[New_DoJ]), -24), "Yes", "No")</f>
        <v>No</v>
      </c>
    </row>
    <row r="487" spans="1:20" x14ac:dyDescent="0.3">
      <c r="A487" s="4">
        <v>10289</v>
      </c>
      <c r="B487" s="5" t="s">
        <v>1238</v>
      </c>
      <c r="C487" s="5" t="s">
        <v>1239</v>
      </c>
      <c r="D487" s="5" t="s">
        <v>1240</v>
      </c>
      <c r="E487" s="5" t="s">
        <v>16</v>
      </c>
      <c r="F487" s="15">
        <v>33030</v>
      </c>
      <c r="G487" s="5">
        <v>6</v>
      </c>
      <c r="H487" s="5" t="s">
        <v>29</v>
      </c>
      <c r="I487" s="5">
        <v>0</v>
      </c>
      <c r="J487" s="5" t="s">
        <v>24</v>
      </c>
      <c r="K487" s="12">
        <v>40000</v>
      </c>
      <c r="L487" s="5" t="s">
        <v>19</v>
      </c>
      <c r="M487" s="6" t="s">
        <v>129</v>
      </c>
      <c r="N487" s="15">
        <v>20789</v>
      </c>
      <c r="O487" s="15">
        <v>33030</v>
      </c>
      <c r="P487" s="5"/>
      <c r="Q487" s="2" t="str">
        <f>INDEX(Table3[#All], MATCH(Table1[[#This Row],[Dept_Id]], Table3[[#All],[Dept_Id]], 0), 1)</f>
        <v>Development</v>
      </c>
      <c r="R487" s="22" t="str">
        <f>IF(Table1[[#This Row],[Left?]] = 1, (Table1[[#This Row],[New_Last_Date]]-Table1[[#This Row],[New_DoJ]])/365.25, "")</f>
        <v/>
      </c>
      <c r="S487" s="2" cm="1">
        <f t="array" ref="S48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87" s="2" t="str">
        <f>IF(Table1[[#This Row],[New_DoJ]] &gt;= EDATE( MAX(Table1[New_DoJ]), -24), "Yes", "No")</f>
        <v>No</v>
      </c>
    </row>
    <row r="488" spans="1:20" x14ac:dyDescent="0.3">
      <c r="A488" s="4">
        <v>10290</v>
      </c>
      <c r="B488" s="5" t="s">
        <v>1241</v>
      </c>
      <c r="C488" s="5" t="s">
        <v>1242</v>
      </c>
      <c r="D488" s="5" t="s">
        <v>1243</v>
      </c>
      <c r="E488" s="5" t="s">
        <v>16</v>
      </c>
      <c r="F488" s="15">
        <v>33499</v>
      </c>
      <c r="G488" s="5">
        <v>5</v>
      </c>
      <c r="H488" s="5" t="s">
        <v>115</v>
      </c>
      <c r="I488" s="5">
        <v>0</v>
      </c>
      <c r="J488" s="5" t="s">
        <v>24</v>
      </c>
      <c r="K488" s="12">
        <v>44274</v>
      </c>
      <c r="L488" s="5" t="s">
        <v>19</v>
      </c>
      <c r="M488" s="6" t="s">
        <v>20</v>
      </c>
      <c r="N488" s="15">
        <v>20969</v>
      </c>
      <c r="O488" s="15">
        <v>33499</v>
      </c>
      <c r="P488" s="5"/>
      <c r="Q488" s="2" t="str">
        <f>INDEX(Table3[#All], MATCH(Table1[[#This Row],[Dept_Id]], Table3[[#All],[Dept_Id]], 0), 1)</f>
        <v>Development</v>
      </c>
      <c r="R488" s="22" t="str">
        <f>IF(Table1[[#This Row],[Left?]] = 1, (Table1[[#This Row],[New_Last_Date]]-Table1[[#This Row],[New_DoJ]])/365.25, "")</f>
        <v/>
      </c>
      <c r="S488" s="2" cm="1">
        <f t="array" ref="S48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1</v>
      </c>
      <c r="T488" s="2" t="str">
        <f>IF(Table1[[#This Row],[New_DoJ]] &gt;= EDATE( MAX(Table1[New_DoJ]), -24), "Yes", "No")</f>
        <v>No</v>
      </c>
    </row>
    <row r="489" spans="1:20" x14ac:dyDescent="0.3">
      <c r="A489" s="4">
        <v>260402</v>
      </c>
      <c r="B489" s="5" t="s">
        <v>1244</v>
      </c>
      <c r="C489" s="5" t="s">
        <v>1245</v>
      </c>
      <c r="D489" s="5" t="s">
        <v>918</v>
      </c>
      <c r="E489" s="5" t="s">
        <v>16</v>
      </c>
      <c r="F489" s="15">
        <v>32988</v>
      </c>
      <c r="G489" s="5">
        <v>3</v>
      </c>
      <c r="H489" s="5" t="s">
        <v>17</v>
      </c>
      <c r="I489" s="5">
        <v>0</v>
      </c>
      <c r="J489" s="5" t="s">
        <v>24</v>
      </c>
      <c r="K489" s="12">
        <v>40000</v>
      </c>
      <c r="L489" s="5" t="s">
        <v>19</v>
      </c>
      <c r="M489" s="6" t="s">
        <v>20</v>
      </c>
      <c r="N489" s="15">
        <v>20674</v>
      </c>
      <c r="O489" s="15">
        <v>32988</v>
      </c>
      <c r="P489" s="5"/>
      <c r="Q489" s="2" t="str">
        <f>INDEX(Table3[#All], MATCH(Table1[[#This Row],[Dept_Id]], Table3[[#All],[Dept_Id]], 0), 1)</f>
        <v>Development</v>
      </c>
      <c r="R489" s="22" t="str">
        <f>IF(Table1[[#This Row],[Left?]] = 1, (Table1[[#This Row],[New_Last_Date]]-Table1[[#This Row],[New_DoJ]])/365.25, "")</f>
        <v/>
      </c>
      <c r="S489" s="2" cm="1">
        <f t="array" ref="S48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89" s="2" t="str">
        <f>IF(Table1[[#This Row],[New_DoJ]] &gt;= EDATE( MAX(Table1[New_DoJ]), -24), "Yes", "No")</f>
        <v>No</v>
      </c>
    </row>
    <row r="490" spans="1:20" x14ac:dyDescent="0.3">
      <c r="A490" s="4">
        <v>10291</v>
      </c>
      <c r="B490" s="5" t="s">
        <v>1246</v>
      </c>
      <c r="C490" s="5" t="s">
        <v>1247</v>
      </c>
      <c r="D490" s="5" t="s">
        <v>1248</v>
      </c>
      <c r="E490" s="5" t="s">
        <v>16</v>
      </c>
      <c r="F490" s="15">
        <v>31684</v>
      </c>
      <c r="G490" s="5">
        <v>1</v>
      </c>
      <c r="H490" s="5" t="s">
        <v>17</v>
      </c>
      <c r="I490" s="5">
        <v>0</v>
      </c>
      <c r="J490" s="5" t="s">
        <v>24</v>
      </c>
      <c r="K490" s="12">
        <v>57430</v>
      </c>
      <c r="L490" s="5" t="s">
        <v>38</v>
      </c>
      <c r="M490" s="6" t="s">
        <v>39</v>
      </c>
      <c r="N490" s="15">
        <v>23765</v>
      </c>
      <c r="O490" s="15">
        <v>31684</v>
      </c>
      <c r="P490" s="5"/>
      <c r="Q490" s="2" t="str">
        <f>INDEX(Table3[#All], MATCH(Table1[[#This Row],[Dept_Id]], Table3[[#All],[Dept_Id]], 0), 1)</f>
        <v>Sales</v>
      </c>
      <c r="R490" s="22" t="str">
        <f>IF(Table1[[#This Row],[Left?]] = 1, (Table1[[#This Row],[New_Last_Date]]-Table1[[#This Row],[New_DoJ]])/365.25, "")</f>
        <v/>
      </c>
      <c r="S490" s="2" cm="1">
        <f t="array" ref="S49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90" s="2" t="str">
        <f>IF(Table1[[#This Row],[New_DoJ]] &gt;= EDATE( MAX(Table1[New_DoJ]), -24), "Yes", "No")</f>
        <v>No</v>
      </c>
    </row>
    <row r="491" spans="1:20" x14ac:dyDescent="0.3">
      <c r="A491" s="4">
        <v>10292</v>
      </c>
      <c r="B491" s="5" t="s">
        <v>1249</v>
      </c>
      <c r="C491" s="5" t="s">
        <v>655</v>
      </c>
      <c r="D491" s="5" t="s">
        <v>880</v>
      </c>
      <c r="E491" s="5" t="s">
        <v>33</v>
      </c>
      <c r="F491" s="15">
        <v>32664</v>
      </c>
      <c r="G491" s="5">
        <v>2</v>
      </c>
      <c r="H491" s="5" t="s">
        <v>29</v>
      </c>
      <c r="I491" s="5">
        <v>0</v>
      </c>
      <c r="J491" s="5" t="s">
        <v>24</v>
      </c>
      <c r="K491" s="12">
        <v>78370</v>
      </c>
      <c r="L491" s="5" t="s">
        <v>38</v>
      </c>
      <c r="M491" s="6" t="s">
        <v>39</v>
      </c>
      <c r="N491" s="15">
        <v>23038</v>
      </c>
      <c r="O491" s="15">
        <v>32664</v>
      </c>
      <c r="P491" s="5"/>
      <c r="Q491" s="2" t="str">
        <f>INDEX(Table3[#All], MATCH(Table1[[#This Row],[Dept_Id]], Table3[[#All],[Dept_Id]], 0), 1)</f>
        <v>Sales</v>
      </c>
      <c r="R491" s="22" t="str">
        <f>IF(Table1[[#This Row],[Left?]] = 1, (Table1[[#This Row],[New_Last_Date]]-Table1[[#This Row],[New_DoJ]])/365.25, "")</f>
        <v/>
      </c>
      <c r="S491" s="2" cm="1">
        <f t="array" ref="S49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91" s="2" t="str">
        <f>IF(Table1[[#This Row],[New_DoJ]] &gt;= EDATE( MAX(Table1[New_DoJ]), -24), "Yes", "No")</f>
        <v>No</v>
      </c>
    </row>
    <row r="492" spans="1:20" x14ac:dyDescent="0.3">
      <c r="A492" s="4">
        <v>469215</v>
      </c>
      <c r="B492" s="5" t="s">
        <v>1250</v>
      </c>
      <c r="C492" s="5" t="s">
        <v>1251</v>
      </c>
      <c r="D492" s="5" t="s">
        <v>1252</v>
      </c>
      <c r="E492" s="5" t="s">
        <v>33</v>
      </c>
      <c r="F492" s="15">
        <v>32035</v>
      </c>
      <c r="G492" s="5">
        <v>6</v>
      </c>
      <c r="H492" s="5" t="s">
        <v>34</v>
      </c>
      <c r="I492" s="5">
        <v>0</v>
      </c>
      <c r="J492" s="5" t="s">
        <v>24</v>
      </c>
      <c r="K492" s="12">
        <v>56042</v>
      </c>
      <c r="L492" s="5" t="s">
        <v>19</v>
      </c>
      <c r="M492" s="6" t="s">
        <v>50</v>
      </c>
      <c r="N492" s="15">
        <v>20465</v>
      </c>
      <c r="O492" s="15">
        <v>32035</v>
      </c>
      <c r="P492" s="5"/>
      <c r="Q492" s="2" t="str">
        <f>INDEX(Table3[#All], MATCH(Table1[[#This Row],[Dept_Id]], Table3[[#All],[Dept_Id]], 0), 1)</f>
        <v>Development</v>
      </c>
      <c r="R492" s="22" t="str">
        <f>IF(Table1[[#This Row],[Left?]] = 1, (Table1[[#This Row],[New_Last_Date]]-Table1[[#This Row],[New_DoJ]])/365.25, "")</f>
        <v/>
      </c>
      <c r="S492" s="2" cm="1">
        <f t="array" ref="S492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92" s="2" t="str">
        <f>IF(Table1[[#This Row],[New_DoJ]] &gt;= EDATE( MAX(Table1[New_DoJ]), -24), "Yes", "No")</f>
        <v>No</v>
      </c>
    </row>
    <row r="493" spans="1:20" x14ac:dyDescent="0.3">
      <c r="A493" s="4">
        <v>10293</v>
      </c>
      <c r="B493" s="5" t="s">
        <v>1253</v>
      </c>
      <c r="C493" s="5" t="s">
        <v>831</v>
      </c>
      <c r="D493" s="5" t="s">
        <v>1254</v>
      </c>
      <c r="E493" s="5" t="s">
        <v>33</v>
      </c>
      <c r="F493" s="15">
        <v>33950</v>
      </c>
      <c r="G493" s="5">
        <v>3</v>
      </c>
      <c r="H493" s="5" t="s">
        <v>29</v>
      </c>
      <c r="I493" s="5">
        <v>0</v>
      </c>
      <c r="J493" s="5" t="s">
        <v>24</v>
      </c>
      <c r="K493" s="12">
        <v>44200</v>
      </c>
      <c r="L493" s="5" t="s">
        <v>25</v>
      </c>
      <c r="M493" s="6" t="s">
        <v>20</v>
      </c>
      <c r="N493" s="15">
        <v>20783</v>
      </c>
      <c r="O493" s="15">
        <v>33950</v>
      </c>
      <c r="P493" s="5"/>
      <c r="Q493" s="2" t="str">
        <f>INDEX(Table3[#All], MATCH(Table1[[#This Row],[Dept_Id]], Table3[[#All],[Dept_Id]], 0), 1)</f>
        <v>Production</v>
      </c>
      <c r="R493" s="22" t="str">
        <f>IF(Table1[[#This Row],[Left?]] = 1, (Table1[[#This Row],[New_Last_Date]]-Table1[[#This Row],[New_DoJ]])/365.25, "")</f>
        <v/>
      </c>
      <c r="S493" s="2" cm="1">
        <f t="array" ref="S493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4</v>
      </c>
      <c r="T493" s="2" t="str">
        <f>IF(Table1[[#This Row],[New_DoJ]] &gt;= EDATE( MAX(Table1[New_DoJ]), -24), "Yes", "No")</f>
        <v>No</v>
      </c>
    </row>
    <row r="494" spans="1:20" x14ac:dyDescent="0.3">
      <c r="A494" s="4">
        <v>10294</v>
      </c>
      <c r="B494" s="5" t="s">
        <v>1255</v>
      </c>
      <c r="C494" s="5" t="s">
        <v>958</v>
      </c>
      <c r="D494" s="5" t="s">
        <v>1256</v>
      </c>
      <c r="E494" s="5" t="s">
        <v>16</v>
      </c>
      <c r="F494" s="15">
        <v>35163</v>
      </c>
      <c r="G494" s="5">
        <v>1</v>
      </c>
      <c r="H494" s="5" t="s">
        <v>17</v>
      </c>
      <c r="I494" s="5">
        <v>0</v>
      </c>
      <c r="J494" s="5" t="s">
        <v>24</v>
      </c>
      <c r="K494" s="12">
        <v>66448</v>
      </c>
      <c r="L494" s="5" t="s">
        <v>19</v>
      </c>
      <c r="M494" s="6" t="s">
        <v>20</v>
      </c>
      <c r="N494" s="15">
        <v>20094</v>
      </c>
      <c r="O494" s="15">
        <v>35163</v>
      </c>
      <c r="P494" s="5"/>
      <c r="Q494" s="2" t="str">
        <f>INDEX(Table3[#All], MATCH(Table1[[#This Row],[Dept_Id]], Table3[[#All],[Dept_Id]], 0), 1)</f>
        <v>Development</v>
      </c>
      <c r="R494" s="22" t="str">
        <f>IF(Table1[[#This Row],[Left?]] = 1, (Table1[[#This Row],[New_Last_Date]]-Table1[[#This Row],[New_DoJ]])/365.25, "")</f>
        <v/>
      </c>
      <c r="S494" s="2" cm="1">
        <f t="array" ref="S494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94" s="2" t="str">
        <f>IF(Table1[[#This Row],[New_DoJ]] &gt;= EDATE( MAX(Table1[New_DoJ]), -24), "Yes", "No")</f>
        <v>No</v>
      </c>
    </row>
    <row r="495" spans="1:20" x14ac:dyDescent="0.3">
      <c r="A495" s="4">
        <v>69005</v>
      </c>
      <c r="B495" s="5" t="s">
        <v>1257</v>
      </c>
      <c r="C495" s="5" t="s">
        <v>191</v>
      </c>
      <c r="D495" s="5" t="s">
        <v>1258</v>
      </c>
      <c r="E495" s="5" t="s">
        <v>16</v>
      </c>
      <c r="F495" s="15">
        <v>33399</v>
      </c>
      <c r="G495" s="5">
        <v>9</v>
      </c>
      <c r="H495" s="5" t="s">
        <v>17</v>
      </c>
      <c r="I495" s="5">
        <v>0</v>
      </c>
      <c r="J495" s="5" t="s">
        <v>24</v>
      </c>
      <c r="K495" s="12">
        <v>40000</v>
      </c>
      <c r="L495" s="5" t="s">
        <v>19</v>
      </c>
      <c r="M495" s="6" t="s">
        <v>20</v>
      </c>
      <c r="N495" s="15">
        <v>21672</v>
      </c>
      <c r="O495" s="15">
        <v>33399</v>
      </c>
      <c r="P495" s="5"/>
      <c r="Q495" s="2" t="str">
        <f>INDEX(Table3[#All], MATCH(Table1[[#This Row],[Dept_Id]], Table3[[#All],[Dept_Id]], 0), 1)</f>
        <v>Development</v>
      </c>
      <c r="R495" s="22" t="str">
        <f>IF(Table1[[#This Row],[Left?]] = 1, (Table1[[#This Row],[New_Last_Date]]-Table1[[#This Row],[New_DoJ]])/365.25, "")</f>
        <v/>
      </c>
      <c r="S495" s="2" cm="1">
        <f t="array" ref="S495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95" s="2" t="str">
        <f>IF(Table1[[#This Row],[New_DoJ]] &gt;= EDATE( MAX(Table1[New_DoJ]), -24), "Yes", "No")</f>
        <v>No</v>
      </c>
    </row>
    <row r="496" spans="1:20" x14ac:dyDescent="0.3">
      <c r="A496" s="4">
        <v>69005</v>
      </c>
      <c r="B496" s="5" t="s">
        <v>1257</v>
      </c>
      <c r="C496" s="5" t="s">
        <v>191</v>
      </c>
      <c r="D496" s="5" t="s">
        <v>1258</v>
      </c>
      <c r="E496" s="5" t="s">
        <v>16</v>
      </c>
      <c r="F496" s="15">
        <v>33399</v>
      </c>
      <c r="G496" s="5">
        <v>9</v>
      </c>
      <c r="H496" s="5" t="s">
        <v>17</v>
      </c>
      <c r="I496" s="5">
        <v>0</v>
      </c>
      <c r="J496" s="5" t="s">
        <v>24</v>
      </c>
      <c r="K496" s="12">
        <v>40000</v>
      </c>
      <c r="L496" s="5" t="s">
        <v>55</v>
      </c>
      <c r="M496" s="6" t="s">
        <v>20</v>
      </c>
      <c r="N496" s="15">
        <v>21672</v>
      </c>
      <c r="O496" s="15">
        <v>33399</v>
      </c>
      <c r="P496" s="5"/>
      <c r="Q496" s="2" t="str">
        <f>INDEX(Table3[#All], MATCH(Table1[[#This Row],[Dept_Id]], Table3[[#All],[Dept_Id]], 0), 1)</f>
        <v>Research</v>
      </c>
      <c r="R496" s="22" t="str">
        <f>IF(Table1[[#This Row],[Left?]] = 1, (Table1[[#This Row],[New_Last_Date]]-Table1[[#This Row],[New_DoJ]])/365.25, "")</f>
        <v/>
      </c>
      <c r="S496" s="2" cm="1">
        <f t="array" ref="S496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96" s="2" t="str">
        <f>IF(Table1[[#This Row],[New_DoJ]] &gt;= EDATE( MAX(Table1[New_DoJ]), -24), "Yes", "No")</f>
        <v>No</v>
      </c>
    </row>
    <row r="497" spans="1:20" x14ac:dyDescent="0.3">
      <c r="A497" s="4">
        <v>10295</v>
      </c>
      <c r="B497" s="5" t="s">
        <v>1259</v>
      </c>
      <c r="C497" s="5" t="s">
        <v>1260</v>
      </c>
      <c r="D497" s="5" t="s">
        <v>1261</v>
      </c>
      <c r="E497" s="5" t="s">
        <v>16</v>
      </c>
      <c r="F497" s="15">
        <v>33112</v>
      </c>
      <c r="G497" s="5">
        <v>1</v>
      </c>
      <c r="H497" s="5" t="s">
        <v>17</v>
      </c>
      <c r="I497" s="5">
        <v>0</v>
      </c>
      <c r="J497" s="5" t="s">
        <v>24</v>
      </c>
      <c r="K497" s="12">
        <v>46398</v>
      </c>
      <c r="L497" s="5" t="s">
        <v>92</v>
      </c>
      <c r="M497" s="6" t="s">
        <v>39</v>
      </c>
      <c r="N497" s="15">
        <v>19372</v>
      </c>
      <c r="O497" s="15">
        <v>33112</v>
      </c>
      <c r="P497" s="5"/>
      <c r="Q497" s="2" t="str">
        <f>INDEX(Table3[#All], MATCH(Table1[[#This Row],[Dept_Id]], Table3[[#All],[Dept_Id]], 0), 1)</f>
        <v>Finance</v>
      </c>
      <c r="R497" s="22" t="str">
        <f>IF(Table1[[#This Row],[Left?]] = 1, (Table1[[#This Row],[New_Last_Date]]-Table1[[#This Row],[New_DoJ]])/365.25, "")</f>
        <v/>
      </c>
      <c r="S497" s="2" cm="1">
        <f t="array" ref="S497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497" s="2" t="str">
        <f>IF(Table1[[#This Row],[New_DoJ]] &gt;= EDATE( MAX(Table1[New_DoJ]), -24), "Yes", "No")</f>
        <v>No</v>
      </c>
    </row>
    <row r="498" spans="1:20" x14ac:dyDescent="0.3">
      <c r="A498" s="4">
        <v>10296</v>
      </c>
      <c r="B498" s="5" t="s">
        <v>1262</v>
      </c>
      <c r="C498" s="5" t="s">
        <v>1263</v>
      </c>
      <c r="D498" s="5" t="s">
        <v>136</v>
      </c>
      <c r="E498" s="5" t="s">
        <v>16</v>
      </c>
      <c r="F498" s="15">
        <v>32767</v>
      </c>
      <c r="G498" s="5">
        <v>1</v>
      </c>
      <c r="H498" s="5" t="s">
        <v>34</v>
      </c>
      <c r="I498" s="5">
        <v>0</v>
      </c>
      <c r="J498" s="5" t="s">
        <v>24</v>
      </c>
      <c r="K498" s="12">
        <v>77788</v>
      </c>
      <c r="L498" s="5" t="s">
        <v>38</v>
      </c>
      <c r="M498" s="6" t="s">
        <v>39</v>
      </c>
      <c r="N498" s="15">
        <v>23510</v>
      </c>
      <c r="O498" s="15">
        <v>32767</v>
      </c>
      <c r="P498" s="5"/>
      <c r="Q498" s="2" t="str">
        <f>INDEX(Table3[#All], MATCH(Table1[[#This Row],[Dept_Id]], Table3[[#All],[Dept_Id]], 0), 1)</f>
        <v>Sales</v>
      </c>
      <c r="R498" s="22" t="str">
        <f>IF(Table1[[#This Row],[Left?]] = 1, (Table1[[#This Row],[New_Last_Date]]-Table1[[#This Row],[New_DoJ]])/365.25, "")</f>
        <v/>
      </c>
      <c r="S498" s="2" cm="1">
        <f t="array" ref="S498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98" s="2" t="str">
        <f>IF(Table1[[#This Row],[New_DoJ]] &gt;= EDATE( MAX(Table1[New_DoJ]), -24), "Yes", "No")</f>
        <v>No</v>
      </c>
    </row>
    <row r="499" spans="1:20" x14ac:dyDescent="0.3">
      <c r="A499" s="4">
        <v>279559</v>
      </c>
      <c r="B499" s="5" t="s">
        <v>1264</v>
      </c>
      <c r="C499" s="5" t="s">
        <v>1265</v>
      </c>
      <c r="D499" s="5" t="s">
        <v>1266</v>
      </c>
      <c r="E499" s="5" t="s">
        <v>33</v>
      </c>
      <c r="F499" s="15">
        <v>33904</v>
      </c>
      <c r="G499" s="5">
        <v>8</v>
      </c>
      <c r="H499" s="5" t="s">
        <v>34</v>
      </c>
      <c r="I499" s="5">
        <v>0</v>
      </c>
      <c r="J499" s="5" t="s">
        <v>24</v>
      </c>
      <c r="K499" s="12">
        <v>83729</v>
      </c>
      <c r="L499" s="5" t="s">
        <v>38</v>
      </c>
      <c r="M499" s="6" t="s">
        <v>39</v>
      </c>
      <c r="N499" s="15">
        <v>20896</v>
      </c>
      <c r="O499" s="15">
        <v>33904</v>
      </c>
      <c r="P499" s="5"/>
      <c r="Q499" s="2" t="str">
        <f>INDEX(Table3[#All], MATCH(Table1[[#This Row],[Dept_Id]], Table3[[#All],[Dept_Id]], 0), 1)</f>
        <v>Sales</v>
      </c>
      <c r="R499" s="22" t="str">
        <f>IF(Table1[[#This Row],[Left?]] = 1, (Table1[[#This Row],[New_Last_Date]]-Table1[[#This Row],[New_DoJ]])/365.25, "")</f>
        <v/>
      </c>
      <c r="S499" s="2" cm="1">
        <f t="array" ref="S499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499" s="2" t="str">
        <f>IF(Table1[[#This Row],[New_DoJ]] &gt;= EDATE( MAX(Table1[New_DoJ]), -24), "Yes", "No")</f>
        <v>No</v>
      </c>
    </row>
    <row r="500" spans="1:20" x14ac:dyDescent="0.3">
      <c r="A500" s="4">
        <v>279559</v>
      </c>
      <c r="B500" s="5" t="s">
        <v>1264</v>
      </c>
      <c r="C500" s="5" t="s">
        <v>1265</v>
      </c>
      <c r="D500" s="5" t="s">
        <v>1266</v>
      </c>
      <c r="E500" s="5" t="s">
        <v>33</v>
      </c>
      <c r="F500" s="15">
        <v>33904</v>
      </c>
      <c r="G500" s="5">
        <v>8</v>
      </c>
      <c r="H500" s="5" t="s">
        <v>34</v>
      </c>
      <c r="I500" s="5">
        <v>0</v>
      </c>
      <c r="J500" s="5" t="s">
        <v>24</v>
      </c>
      <c r="K500" s="12">
        <v>83729</v>
      </c>
      <c r="L500" s="5" t="s">
        <v>77</v>
      </c>
      <c r="M500" s="6" t="s">
        <v>39</v>
      </c>
      <c r="N500" s="15">
        <v>20896</v>
      </c>
      <c r="O500" s="15">
        <v>33904</v>
      </c>
      <c r="P500" s="5"/>
      <c r="Q500" s="2" t="str">
        <f>INDEX(Table3[#All], MATCH(Table1[[#This Row],[Dept_Id]], Table3[[#All],[Dept_Id]], 0), 1)</f>
        <v>Customer Service</v>
      </c>
      <c r="R500" s="22" t="str">
        <f>IF(Table1[[#This Row],[Left?]] = 1, (Table1[[#This Row],[New_Last_Date]]-Table1[[#This Row],[New_DoJ]])/365.25, "")</f>
        <v/>
      </c>
      <c r="S500" s="2" cm="1">
        <f t="array" ref="S500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3</v>
      </c>
      <c r="T500" s="2" t="str">
        <f>IF(Table1[[#This Row],[New_DoJ]] &gt;= EDATE( MAX(Table1[New_DoJ]), -24), "Yes", "No")</f>
        <v>No</v>
      </c>
    </row>
    <row r="501" spans="1:20" x14ac:dyDescent="0.3">
      <c r="A501" s="7">
        <v>10297</v>
      </c>
      <c r="B501" s="8" t="s">
        <v>1267</v>
      </c>
      <c r="C501" s="8" t="s">
        <v>1268</v>
      </c>
      <c r="D501" s="8" t="s">
        <v>1269</v>
      </c>
      <c r="E501" s="8" t="s">
        <v>33</v>
      </c>
      <c r="F501" s="16">
        <v>31560</v>
      </c>
      <c r="G501" s="8">
        <v>9</v>
      </c>
      <c r="H501" s="8" t="s">
        <v>17</v>
      </c>
      <c r="I501" s="8">
        <v>0</v>
      </c>
      <c r="J501" s="8"/>
      <c r="K501" s="13">
        <v>63061</v>
      </c>
      <c r="L501" s="8" t="s">
        <v>25</v>
      </c>
      <c r="M501" s="9" t="s">
        <v>20</v>
      </c>
      <c r="N501" s="16">
        <v>20623</v>
      </c>
      <c r="O501" s="16">
        <v>31560</v>
      </c>
      <c r="P501" s="8"/>
      <c r="Q501" s="2" t="str">
        <f>INDEX(Table3[#All], MATCH(Table1[[#This Row],[Dept_Id]], Table3[[#All],[Dept_Id]], 0), 1)</f>
        <v>Production</v>
      </c>
      <c r="R501" s="22" t="str">
        <f>IF(Table1[[#This Row],[Left?]] = 1, (Table1[[#This Row],[New_Last_Date]]-Table1[[#This Row],[New_DoJ]])/365.25, "")</f>
        <v/>
      </c>
      <c r="S501" s="2" cm="1">
        <f t="array" ref="S501">_xlfn.IFS(Table1[[#This Row],[Last_performance_rating]] = "S", 5, Table1[[#This Row],[Last_performance_rating]] = "A", 4, Table1[[#This Row],[Last_performance_rating]] = "B", 3, Table1[[#This Row],[Last_performance_rating]] = "C", 2, Table1[[#This Row],[Last_performance_rating]] = "PIP", 1)</f>
        <v>2</v>
      </c>
      <c r="T501" s="2" t="str">
        <f>IF(Table1[[#This Row],[New_DoJ]] &gt;= EDATE( MAX(Table1[New_DoJ]), -24), "Yes", "No")</f>
        <v>No</v>
      </c>
    </row>
  </sheetData>
  <conditionalFormatting sqref="A2:T501">
    <cfRule type="expression" dxfId="0" priority="1">
      <formula xml:space="preserve"> AND( OR($S2 = 1, $S2 = 2), $K2 &gt;=90000)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2A17-2068-4608-9E72-5EDF0D184198}">
  <dimension ref="B2:C11"/>
  <sheetViews>
    <sheetView topLeftCell="B1" zoomScale="127" workbookViewId="0">
      <selection activeCell="B1" sqref="B1:B1048576"/>
    </sheetView>
  </sheetViews>
  <sheetFormatPr defaultRowHeight="14.4" x14ac:dyDescent="0.3"/>
  <cols>
    <col min="2" max="2" width="20.6640625" customWidth="1"/>
    <col min="3" max="3" width="14.109375" customWidth="1"/>
  </cols>
  <sheetData>
    <row r="2" spans="2:3" x14ac:dyDescent="0.3">
      <c r="B2" s="6" t="s">
        <v>1270</v>
      </c>
      <c r="C2" s="2" t="s">
        <v>11</v>
      </c>
    </row>
    <row r="3" spans="2:3" x14ac:dyDescent="0.3">
      <c r="B3" s="5" t="s">
        <v>1271</v>
      </c>
      <c r="C3" s="5" t="s">
        <v>105</v>
      </c>
    </row>
    <row r="4" spans="2:3" x14ac:dyDescent="0.3">
      <c r="B4" s="5" t="s">
        <v>1272</v>
      </c>
      <c r="C4" s="5" t="s">
        <v>92</v>
      </c>
    </row>
    <row r="5" spans="2:3" x14ac:dyDescent="0.3">
      <c r="B5" s="5" t="s">
        <v>1273</v>
      </c>
      <c r="C5" s="5" t="s">
        <v>43</v>
      </c>
    </row>
    <row r="6" spans="2:3" x14ac:dyDescent="0.3">
      <c r="B6" s="5" t="s">
        <v>1274</v>
      </c>
      <c r="C6" s="5" t="s">
        <v>25</v>
      </c>
    </row>
    <row r="7" spans="2:3" x14ac:dyDescent="0.3">
      <c r="B7" s="5" t="s">
        <v>1275</v>
      </c>
      <c r="C7" s="5" t="s">
        <v>19</v>
      </c>
    </row>
    <row r="8" spans="2:3" x14ac:dyDescent="0.3">
      <c r="B8" s="5" t="s">
        <v>1276</v>
      </c>
      <c r="C8" s="5" t="s">
        <v>63</v>
      </c>
    </row>
    <row r="9" spans="2:3" x14ac:dyDescent="0.3">
      <c r="B9" s="5" t="s">
        <v>1277</v>
      </c>
      <c r="C9" s="5" t="s">
        <v>38</v>
      </c>
    </row>
    <row r="10" spans="2:3" x14ac:dyDescent="0.3">
      <c r="B10" s="5" t="s">
        <v>1278</v>
      </c>
      <c r="C10" s="5" t="s">
        <v>55</v>
      </c>
    </row>
    <row r="11" spans="2:3" x14ac:dyDescent="0.3">
      <c r="B11" s="5" t="s">
        <v>1279</v>
      </c>
      <c r="C11" s="5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46BA-38ED-4601-A4F3-131D23E6C2A7}">
  <dimension ref="B2:AA1022"/>
  <sheetViews>
    <sheetView topLeftCell="A95" zoomScale="112" zoomScaleNormal="110" workbookViewId="0">
      <selection activeCell="F112" sqref="F112"/>
    </sheetView>
  </sheetViews>
  <sheetFormatPr defaultRowHeight="15.6" x14ac:dyDescent="0.3"/>
  <cols>
    <col min="1" max="3" width="8.88671875" style="11"/>
    <col min="4" max="4" width="18.44140625" style="11" bestFit="1" customWidth="1"/>
    <col min="5" max="5" width="12.44140625" style="11" bestFit="1" customWidth="1"/>
    <col min="6" max="6" width="18.44140625" style="11" bestFit="1" customWidth="1"/>
    <col min="7" max="7" width="16.109375" style="11" bestFit="1" customWidth="1"/>
    <col min="8" max="8" width="5.109375" style="11" bestFit="1" customWidth="1"/>
    <col min="9" max="9" width="10.77734375" style="11" bestFit="1" customWidth="1"/>
    <col min="10" max="10" width="5.109375" style="11" bestFit="1" customWidth="1"/>
    <col min="11" max="11" width="19.33203125" style="11" bestFit="1" customWidth="1"/>
    <col min="12" max="12" width="15.33203125" style="11" bestFit="1" customWidth="1"/>
    <col min="13" max="26" width="5.109375" style="11" bestFit="1" customWidth="1"/>
    <col min="27" max="27" width="10.77734375" style="11" bestFit="1" customWidth="1"/>
    <col min="28" max="16384" width="8.88671875" style="11"/>
  </cols>
  <sheetData>
    <row r="2" spans="2:15" x14ac:dyDescent="0.3">
      <c r="B2" s="11" t="s">
        <v>1280</v>
      </c>
    </row>
    <row r="3" spans="2:15" x14ac:dyDescent="0.3">
      <c r="E3" s="11" t="s">
        <v>1281</v>
      </c>
    </row>
    <row r="4" spans="2:15" x14ac:dyDescent="0.3">
      <c r="E4" s="11" t="s">
        <v>1282</v>
      </c>
    </row>
    <row r="6" spans="2:15" x14ac:dyDescent="0.3">
      <c r="B6" s="11" t="s">
        <v>1286</v>
      </c>
    </row>
    <row r="8" spans="2:15" x14ac:dyDescent="0.3">
      <c r="B8" s="11" t="s">
        <v>1288</v>
      </c>
    </row>
    <row r="9" spans="2:15" x14ac:dyDescent="0.3">
      <c r="C9" s="11" t="s">
        <v>1289</v>
      </c>
      <c r="J9" s="19" t="s">
        <v>1292</v>
      </c>
      <c r="K9" s="18"/>
      <c r="L9" s="18"/>
      <c r="M9" s="11">
        <f>COUNTA(Table1[New_Last_Date])</f>
        <v>44</v>
      </c>
      <c r="N9" s="17" t="s">
        <v>1293</v>
      </c>
      <c r="O9" s="11">
        <f>COUNTIF(Table1[Left?], 1)</f>
        <v>44</v>
      </c>
    </row>
    <row r="10" spans="2:15" x14ac:dyDescent="0.3">
      <c r="C10" s="11" t="s">
        <v>1290</v>
      </c>
      <c r="J10" s="19" t="s">
        <v>1294</v>
      </c>
      <c r="N10" s="11">
        <f>COUNTIF(Table1[Title], "Technique Leader" )</f>
        <v>29</v>
      </c>
    </row>
    <row r="11" spans="2:15" x14ac:dyDescent="0.3">
      <c r="C11" s="11" t="s">
        <v>1291</v>
      </c>
      <c r="J11" s="19" t="s">
        <v>1295</v>
      </c>
      <c r="M11" s="11">
        <f>COUNTA(Table1[Emp_Id]) - $M$9</f>
        <v>456</v>
      </c>
    </row>
    <row r="13" spans="2:15" x14ac:dyDescent="0.3">
      <c r="B13" s="24" t="s">
        <v>1296</v>
      </c>
    </row>
    <row r="14" spans="2:15" x14ac:dyDescent="0.3">
      <c r="B14" s="25" t="s">
        <v>1297</v>
      </c>
      <c r="J14" s="19" t="s">
        <v>1299</v>
      </c>
      <c r="N14" s="26">
        <f>$M$9/ COUNTA(Table1[Emp_Id])</f>
        <v>8.7999999999999995E-2</v>
      </c>
    </row>
    <row r="15" spans="2:15" x14ac:dyDescent="0.3">
      <c r="B15" s="25" t="s">
        <v>1298</v>
      </c>
      <c r="J15" s="19" t="s">
        <v>1301</v>
      </c>
      <c r="M15" s="23">
        <f>AVERAGE(Table1[Tenure?(yrs)])</f>
        <v>7.4300914691058457</v>
      </c>
    </row>
    <row r="17" spans="2:8" x14ac:dyDescent="0.3">
      <c r="B17" s="24" t="s">
        <v>1302</v>
      </c>
    </row>
    <row r="18" spans="2:8" x14ac:dyDescent="0.3">
      <c r="B18" s="25" t="s">
        <v>1303</v>
      </c>
    </row>
    <row r="19" spans="2:8" x14ac:dyDescent="0.3">
      <c r="B19" s="25" t="s">
        <v>1304</v>
      </c>
    </row>
    <row r="21" spans="2:8" x14ac:dyDescent="0.3">
      <c r="C21" s="19" t="s">
        <v>1306</v>
      </c>
      <c r="H21" s="11">
        <f>CORREL(Table1[Performance Ratings], Table1[no_of_projects])</f>
        <v>-4.3130883048827964E-2</v>
      </c>
    </row>
    <row r="22" spans="2:8" x14ac:dyDescent="0.3">
      <c r="E22" s="11" t="s">
        <v>1308</v>
      </c>
    </row>
    <row r="23" spans="2:8" x14ac:dyDescent="0.3">
      <c r="C23" s="19" t="s">
        <v>1307</v>
      </c>
    </row>
    <row r="24" spans="2:8" x14ac:dyDescent="0.3">
      <c r="C24" s="19"/>
    </row>
    <row r="25" spans="2:8" x14ac:dyDescent="0.3">
      <c r="C25" s="19"/>
      <c r="E25" s="27" t="s">
        <v>1305</v>
      </c>
      <c r="F25" t="s" vm="1">
        <v>1311</v>
      </c>
    </row>
    <row r="27" spans="2:8" x14ac:dyDescent="0.3">
      <c r="E27" s="27" t="s">
        <v>1313</v>
      </c>
      <c r="F27" t="s">
        <v>1314</v>
      </c>
      <c r="G27"/>
    </row>
    <row r="28" spans="2:8" x14ac:dyDescent="0.3">
      <c r="E28" s="28" t="s">
        <v>1274</v>
      </c>
      <c r="F28" s="29">
        <v>50</v>
      </c>
      <c r="G28"/>
    </row>
    <row r="29" spans="2:8" x14ac:dyDescent="0.3">
      <c r="E29" s="28" t="s">
        <v>1275</v>
      </c>
      <c r="F29" s="29">
        <v>41</v>
      </c>
      <c r="G29"/>
    </row>
    <row r="30" spans="2:8" x14ac:dyDescent="0.3">
      <c r="E30" s="28" t="s">
        <v>1277</v>
      </c>
      <c r="F30" s="29">
        <v>28</v>
      </c>
      <c r="G30"/>
    </row>
    <row r="31" spans="2:8" x14ac:dyDescent="0.3">
      <c r="E31" s="28" t="s">
        <v>1278</v>
      </c>
      <c r="F31" s="29">
        <v>15</v>
      </c>
      <c r="G31"/>
    </row>
    <row r="32" spans="2:8" x14ac:dyDescent="0.3">
      <c r="E32" s="28" t="s">
        <v>1279</v>
      </c>
      <c r="F32" s="29">
        <v>15</v>
      </c>
      <c r="G32"/>
    </row>
    <row r="33" spans="2:11" x14ac:dyDescent="0.3">
      <c r="E33" s="28" t="s">
        <v>1272</v>
      </c>
      <c r="F33" s="29">
        <v>12</v>
      </c>
      <c r="G33"/>
    </row>
    <row r="34" spans="2:11" x14ac:dyDescent="0.3">
      <c r="E34" s="28" t="s">
        <v>1271</v>
      </c>
      <c r="F34" s="29">
        <v>10</v>
      </c>
      <c r="G34"/>
    </row>
    <row r="35" spans="2:11" x14ac:dyDescent="0.3">
      <c r="E35" s="28" t="s">
        <v>1273</v>
      </c>
      <c r="F35" s="29">
        <v>9</v>
      </c>
      <c r="G35"/>
    </row>
    <row r="36" spans="2:11" x14ac:dyDescent="0.3">
      <c r="E36" s="28" t="s">
        <v>1276</v>
      </c>
      <c r="F36" s="29">
        <v>8</v>
      </c>
      <c r="G36"/>
    </row>
    <row r="37" spans="2:11" x14ac:dyDescent="0.3">
      <c r="E37" s="28" t="s">
        <v>1310</v>
      </c>
      <c r="F37" s="29">
        <v>188</v>
      </c>
      <c r="G37"/>
    </row>
    <row r="38" spans="2:11" x14ac:dyDescent="0.3">
      <c r="E38"/>
      <c r="F38"/>
      <c r="G38"/>
    </row>
    <row r="39" spans="2:11" ht="18" x14ac:dyDescent="0.35">
      <c r="B39" s="20" t="s">
        <v>1315</v>
      </c>
      <c r="E39"/>
      <c r="F39"/>
      <c r="G39"/>
    </row>
    <row r="40" spans="2:11" ht="18" x14ac:dyDescent="0.3">
      <c r="B40" s="21" t="s">
        <v>1316</v>
      </c>
      <c r="E40"/>
      <c r="F40"/>
      <c r="G40"/>
    </row>
    <row r="41" spans="2:11" ht="18" x14ac:dyDescent="0.3">
      <c r="B41" s="21" t="s">
        <v>1317</v>
      </c>
      <c r="E41"/>
      <c r="F41"/>
      <c r="G41"/>
    </row>
    <row r="42" spans="2:11" ht="18" x14ac:dyDescent="0.35">
      <c r="B42" s="10" t="s">
        <v>1318</v>
      </c>
      <c r="E42"/>
      <c r="F42"/>
      <c r="G42"/>
    </row>
    <row r="43" spans="2:11" ht="18" x14ac:dyDescent="0.35">
      <c r="B43" s="10" t="s">
        <v>1319</v>
      </c>
      <c r="E43"/>
      <c r="F43"/>
      <c r="G43"/>
    </row>
    <row r="44" spans="2:11" ht="18" x14ac:dyDescent="0.35">
      <c r="B44" s="10" t="s">
        <v>1320</v>
      </c>
      <c r="E44"/>
      <c r="F44"/>
      <c r="G44"/>
    </row>
    <row r="46" spans="2:11" x14ac:dyDescent="0.3">
      <c r="C46" s="19" t="s">
        <v>1323</v>
      </c>
      <c r="G46" s="19" t="s">
        <v>1324</v>
      </c>
    </row>
    <row r="47" spans="2:11" x14ac:dyDescent="0.3">
      <c r="D47" s="27" t="s">
        <v>1313</v>
      </c>
      <c r="E47" t="s">
        <v>1322</v>
      </c>
      <c r="F47"/>
    </row>
    <row r="48" spans="2:11" x14ac:dyDescent="0.3">
      <c r="D48" s="28" t="s">
        <v>1277</v>
      </c>
      <c r="E48" s="29">
        <v>69925.346666666665</v>
      </c>
      <c r="F48"/>
      <c r="H48" s="27" t="s">
        <v>1321</v>
      </c>
      <c r="I48" s="27" t="s">
        <v>1325</v>
      </c>
      <c r="J48"/>
      <c r="K48"/>
    </row>
    <row r="49" spans="3:11" x14ac:dyDescent="0.3">
      <c r="D49" s="28" t="s">
        <v>1271</v>
      </c>
      <c r="E49" s="29">
        <v>65131.666666666664</v>
      </c>
      <c r="F49"/>
      <c r="H49" s="27" t="s">
        <v>1309</v>
      </c>
      <c r="I49" t="s">
        <v>33</v>
      </c>
      <c r="J49" t="s">
        <v>16</v>
      </c>
      <c r="K49" t="s">
        <v>1310</v>
      </c>
    </row>
    <row r="50" spans="3:11" x14ac:dyDescent="0.3">
      <c r="D50" s="28" t="s">
        <v>1272</v>
      </c>
      <c r="E50" s="29">
        <v>59878.666666666664</v>
      </c>
      <c r="F50"/>
      <c r="H50" s="28" t="s">
        <v>1279</v>
      </c>
      <c r="I50" s="29">
        <v>49130.84210526316</v>
      </c>
      <c r="J50" s="29">
        <v>47273.76470588235</v>
      </c>
      <c r="K50" s="29">
        <v>48253.888888888891</v>
      </c>
    </row>
    <row r="51" spans="3:11" x14ac:dyDescent="0.3">
      <c r="D51" s="28" t="s">
        <v>1276</v>
      </c>
      <c r="E51" s="29">
        <v>49048.037037037036</v>
      </c>
      <c r="F51"/>
      <c r="H51" s="28" t="s">
        <v>1275</v>
      </c>
      <c r="I51" s="29">
        <v>48974.714285714283</v>
      </c>
      <c r="J51" s="29">
        <v>47898.41891891892</v>
      </c>
      <c r="K51" s="29">
        <v>48362.053846153845</v>
      </c>
    </row>
    <row r="52" spans="3:11" x14ac:dyDescent="0.3">
      <c r="D52" s="28" t="s">
        <v>1274</v>
      </c>
      <c r="E52" s="29">
        <v>48702.5</v>
      </c>
      <c r="F52"/>
      <c r="H52" s="28" t="s">
        <v>1272</v>
      </c>
      <c r="I52" s="29">
        <v>66638.777777777781</v>
      </c>
      <c r="J52" s="29">
        <v>57343.625</v>
      </c>
      <c r="K52" s="29">
        <v>59878.666666666664</v>
      </c>
    </row>
    <row r="53" spans="3:11" x14ac:dyDescent="0.3">
      <c r="D53" s="28" t="s">
        <v>1278</v>
      </c>
      <c r="E53" s="29">
        <v>48469.92682926829</v>
      </c>
      <c r="F53"/>
      <c r="H53" s="28" t="s">
        <v>1273</v>
      </c>
      <c r="I53" s="29">
        <v>45308.5</v>
      </c>
      <c r="J53" s="29">
        <v>48766.956521739128</v>
      </c>
      <c r="K53" s="29">
        <v>48254.592592592591</v>
      </c>
    </row>
    <row r="54" spans="3:11" x14ac:dyDescent="0.3">
      <c r="D54" s="28" t="s">
        <v>1275</v>
      </c>
      <c r="E54" s="29">
        <v>48362.053846153845</v>
      </c>
      <c r="F54"/>
      <c r="H54" s="28" t="s">
        <v>1271</v>
      </c>
      <c r="I54" s="29">
        <v>68397.125</v>
      </c>
      <c r="J54" s="29">
        <v>63122.153846153844</v>
      </c>
      <c r="K54" s="29">
        <v>65131.666666666664</v>
      </c>
    </row>
    <row r="55" spans="3:11" x14ac:dyDescent="0.3">
      <c r="D55" s="28" t="s">
        <v>1273</v>
      </c>
      <c r="E55" s="29">
        <v>48254.592592592591</v>
      </c>
      <c r="F55"/>
      <c r="H55" s="28" t="s">
        <v>1274</v>
      </c>
      <c r="I55" s="29">
        <v>47948.731707317071</v>
      </c>
      <c r="J55" s="29">
        <v>49150.391304347824</v>
      </c>
      <c r="K55" s="29">
        <v>48702.5</v>
      </c>
    </row>
    <row r="56" spans="3:11" x14ac:dyDescent="0.3">
      <c r="D56" s="28" t="s">
        <v>1279</v>
      </c>
      <c r="E56" s="29">
        <v>48253.888888888891</v>
      </c>
      <c r="F56"/>
      <c r="H56" s="28" t="s">
        <v>1276</v>
      </c>
      <c r="I56" s="29">
        <v>46677.125</v>
      </c>
      <c r="J56" s="29">
        <v>50046.315789473687</v>
      </c>
      <c r="K56" s="29">
        <v>49048.037037037036</v>
      </c>
    </row>
    <row r="57" spans="3:11" x14ac:dyDescent="0.3">
      <c r="D57" s="28" t="s">
        <v>1310</v>
      </c>
      <c r="E57" s="29">
        <v>53168.163999999997</v>
      </c>
      <c r="F57"/>
      <c r="H57" s="28" t="s">
        <v>1278</v>
      </c>
      <c r="I57" s="29">
        <v>48998.411764705881</v>
      </c>
      <c r="J57" s="29">
        <v>48095.583333333336</v>
      </c>
      <c r="K57" s="29">
        <v>48469.92682926829</v>
      </c>
    </row>
    <row r="58" spans="3:11" x14ac:dyDescent="0.3">
      <c r="D58"/>
      <c r="E58"/>
      <c r="F58"/>
      <c r="H58" s="28" t="s">
        <v>1277</v>
      </c>
      <c r="I58" s="29">
        <v>72175.875</v>
      </c>
      <c r="J58" s="29">
        <v>68250.534883720931</v>
      </c>
      <c r="K58" s="29">
        <v>69925.346666666665</v>
      </c>
    </row>
    <row r="59" spans="3:11" x14ac:dyDescent="0.3">
      <c r="D59"/>
      <c r="E59"/>
      <c r="F59"/>
      <c r="H59" s="28" t="s">
        <v>1310</v>
      </c>
      <c r="I59" s="29">
        <v>54052.298969072166</v>
      </c>
      <c r="J59" s="29">
        <v>52607.633986928107</v>
      </c>
      <c r="K59" s="29">
        <v>53168.163999999997</v>
      </c>
    </row>
    <row r="60" spans="3:11" x14ac:dyDescent="0.3">
      <c r="C60" s="19" t="s">
        <v>1326</v>
      </c>
      <c r="D60"/>
      <c r="E60">
        <f>CORREL(Table1[Salary], Table1[Performance Ratings])</f>
        <v>5.1266237118083882E-2</v>
      </c>
      <c r="F60"/>
      <c r="H60"/>
      <c r="I60"/>
      <c r="J60"/>
    </row>
    <row r="61" spans="3:11" x14ac:dyDescent="0.3">
      <c r="D61"/>
      <c r="E61"/>
      <c r="F61"/>
      <c r="H61"/>
      <c r="I61"/>
      <c r="J61"/>
    </row>
    <row r="62" spans="3:11" ht="18" x14ac:dyDescent="0.35">
      <c r="C62" s="20" t="s">
        <v>1327</v>
      </c>
      <c r="D62"/>
      <c r="E62"/>
      <c r="F62"/>
      <c r="H62"/>
      <c r="I62"/>
      <c r="J62"/>
    </row>
    <row r="63" spans="3:11" ht="18" x14ac:dyDescent="0.3">
      <c r="C63" s="21" t="s">
        <v>1328</v>
      </c>
      <c r="D63"/>
      <c r="E63"/>
      <c r="F63"/>
      <c r="H63"/>
      <c r="I63"/>
      <c r="J63"/>
    </row>
    <row r="64" spans="3:11" ht="18" x14ac:dyDescent="0.3">
      <c r="C64" s="21" t="s">
        <v>1329</v>
      </c>
      <c r="D64"/>
      <c r="E64"/>
      <c r="F64"/>
      <c r="H64"/>
      <c r="I64"/>
      <c r="J64"/>
    </row>
    <row r="65" spans="4:10" x14ac:dyDescent="0.3">
      <c r="H65"/>
      <c r="I65"/>
      <c r="J65"/>
    </row>
    <row r="66" spans="4:10" ht="18" x14ac:dyDescent="0.35">
      <c r="D66" s="30" t="s">
        <v>1330</v>
      </c>
      <c r="H66"/>
      <c r="I66"/>
    </row>
    <row r="67" spans="4:10" x14ac:dyDescent="0.3">
      <c r="H67"/>
      <c r="I67"/>
    </row>
    <row r="68" spans="4:10" x14ac:dyDescent="0.3">
      <c r="H68"/>
      <c r="I68"/>
    </row>
    <row r="69" spans="4:10" x14ac:dyDescent="0.3">
      <c r="E69" s="27" t="s">
        <v>1346</v>
      </c>
      <c r="F69" t="s">
        <v>1347</v>
      </c>
      <c r="G69"/>
      <c r="H69"/>
      <c r="I69"/>
    </row>
    <row r="70" spans="4:10" x14ac:dyDescent="0.3">
      <c r="E70" s="28" t="s">
        <v>1331</v>
      </c>
      <c r="F70" s="29">
        <v>51</v>
      </c>
      <c r="G70"/>
    </row>
    <row r="71" spans="4:10" x14ac:dyDescent="0.3">
      <c r="E71" s="28" t="s">
        <v>1332</v>
      </c>
      <c r="F71" s="29">
        <v>69</v>
      </c>
      <c r="G71"/>
    </row>
    <row r="72" spans="4:10" x14ac:dyDescent="0.3">
      <c r="E72" s="28" t="s">
        <v>1333</v>
      </c>
      <c r="F72" s="29">
        <v>56</v>
      </c>
      <c r="G72"/>
    </row>
    <row r="73" spans="4:10" x14ac:dyDescent="0.3">
      <c r="E73" s="28" t="s">
        <v>1334</v>
      </c>
      <c r="F73" s="29">
        <v>52</v>
      </c>
      <c r="G73"/>
    </row>
    <row r="74" spans="4:10" x14ac:dyDescent="0.3">
      <c r="E74" s="28" t="s">
        <v>1335</v>
      </c>
      <c r="F74" s="29">
        <v>44</v>
      </c>
      <c r="G74"/>
    </row>
    <row r="75" spans="4:10" x14ac:dyDescent="0.3">
      <c r="E75" s="28" t="s">
        <v>1336</v>
      </c>
      <c r="F75" s="29">
        <v>50</v>
      </c>
      <c r="G75"/>
    </row>
    <row r="76" spans="4:10" x14ac:dyDescent="0.3">
      <c r="E76" s="28" t="s">
        <v>1337</v>
      </c>
      <c r="F76" s="29">
        <v>41</v>
      </c>
      <c r="G76"/>
    </row>
    <row r="77" spans="4:10" x14ac:dyDescent="0.3">
      <c r="E77" s="28" t="s">
        <v>1338</v>
      </c>
      <c r="F77" s="29">
        <v>41</v>
      </c>
      <c r="G77"/>
    </row>
    <row r="78" spans="4:10" x14ac:dyDescent="0.3">
      <c r="E78" s="28" t="s">
        <v>1339</v>
      </c>
      <c r="F78" s="29">
        <v>23</v>
      </c>
      <c r="G78"/>
    </row>
    <row r="79" spans="4:10" x14ac:dyDescent="0.3">
      <c r="E79" s="28" t="s">
        <v>1340</v>
      </c>
      <c r="F79" s="29">
        <v>24</v>
      </c>
      <c r="G79"/>
    </row>
    <row r="80" spans="4:10" x14ac:dyDescent="0.3">
      <c r="E80" s="28" t="s">
        <v>1341</v>
      </c>
      <c r="F80" s="29">
        <v>22</v>
      </c>
      <c r="G80"/>
    </row>
    <row r="81" spans="5:27" x14ac:dyDescent="0.3">
      <c r="E81" s="28" t="s">
        <v>1342</v>
      </c>
      <c r="F81" s="29">
        <v>10</v>
      </c>
      <c r="G81"/>
    </row>
    <row r="82" spans="5:27" x14ac:dyDescent="0.3">
      <c r="E82" s="28" t="s">
        <v>1343</v>
      </c>
      <c r="F82" s="29">
        <v>6</v>
      </c>
      <c r="G82"/>
    </row>
    <row r="83" spans="5:27" x14ac:dyDescent="0.3">
      <c r="E83" s="28" t="s">
        <v>1344</v>
      </c>
      <c r="F83" s="29">
        <v>6</v>
      </c>
      <c r="G83"/>
    </row>
    <row r="84" spans="5:27" x14ac:dyDescent="0.3">
      <c r="E84" s="28" t="s">
        <v>1345</v>
      </c>
      <c r="F84" s="29">
        <v>5</v>
      </c>
      <c r="G84"/>
    </row>
    <row r="85" spans="5:27" x14ac:dyDescent="0.3">
      <c r="E85" s="28" t="s">
        <v>1310</v>
      </c>
      <c r="F85" s="29">
        <v>500</v>
      </c>
      <c r="G85"/>
    </row>
    <row r="86" spans="5:27" x14ac:dyDescent="0.3">
      <c r="E86"/>
      <c r="F86"/>
      <c r="G86"/>
    </row>
    <row r="87" spans="5:27" x14ac:dyDescent="0.3">
      <c r="E87"/>
    </row>
    <row r="88" spans="5:27" x14ac:dyDescent="0.3">
      <c r="E88" s="31" t="s">
        <v>1348</v>
      </c>
      <c r="K88" s="27" t="s">
        <v>1350</v>
      </c>
      <c r="L88" t="s">
        <v>1351</v>
      </c>
    </row>
    <row r="89" spans="5:27" x14ac:dyDescent="0.3">
      <c r="E89"/>
    </row>
    <row r="90" spans="5:27" x14ac:dyDescent="0.3">
      <c r="E90"/>
      <c r="F90" s="27" t="s">
        <v>1349</v>
      </c>
      <c r="G90" t="s" vm="2">
        <v>1311</v>
      </c>
      <c r="K90" s="27" t="s">
        <v>1309</v>
      </c>
      <c r="L90" t="s">
        <v>1312</v>
      </c>
      <c r="M90"/>
    </row>
    <row r="91" spans="5:27" x14ac:dyDescent="0.3">
      <c r="E91"/>
      <c r="K91" s="28" t="s">
        <v>43</v>
      </c>
      <c r="L91" s="29">
        <v>1</v>
      </c>
      <c r="M91"/>
    </row>
    <row r="92" spans="5:27" x14ac:dyDescent="0.3">
      <c r="E92"/>
      <c r="F92" s="27" t="s">
        <v>1309</v>
      </c>
      <c r="G92" t="s">
        <v>1312</v>
      </c>
      <c r="H92"/>
      <c r="I92"/>
      <c r="J92"/>
      <c r="K92" s="28" t="s">
        <v>25</v>
      </c>
      <c r="L92" s="29">
        <v>2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5:27" x14ac:dyDescent="0.3">
      <c r="E93"/>
      <c r="F93" s="28" t="s">
        <v>1279</v>
      </c>
      <c r="G93" s="29">
        <v>1</v>
      </c>
      <c r="H93"/>
      <c r="I93"/>
      <c r="J93"/>
      <c r="K93" s="28" t="s">
        <v>19</v>
      </c>
      <c r="L93" s="29">
        <v>3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5:27" x14ac:dyDescent="0.3">
      <c r="E94"/>
      <c r="F94" s="28" t="s">
        <v>1275</v>
      </c>
      <c r="G94" s="29">
        <v>3</v>
      </c>
      <c r="H94"/>
      <c r="I94"/>
      <c r="J94"/>
      <c r="K94" s="28" t="s">
        <v>63</v>
      </c>
      <c r="L94" s="29">
        <v>1</v>
      </c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5:27" x14ac:dyDescent="0.3">
      <c r="E95"/>
      <c r="F95" s="28" t="s">
        <v>1273</v>
      </c>
      <c r="G95" s="29">
        <v>1</v>
      </c>
      <c r="H95"/>
      <c r="I95"/>
      <c r="J95"/>
      <c r="K95" s="28" t="s">
        <v>55</v>
      </c>
      <c r="L95" s="29">
        <v>3</v>
      </c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5:27" x14ac:dyDescent="0.3">
      <c r="E96"/>
      <c r="F96" s="28" t="s">
        <v>1274</v>
      </c>
      <c r="G96" s="29">
        <v>2</v>
      </c>
      <c r="H96"/>
      <c r="I96"/>
      <c r="J96"/>
      <c r="K96" s="28" t="s">
        <v>77</v>
      </c>
      <c r="L96" s="29">
        <v>1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x14ac:dyDescent="0.3">
      <c r="E97"/>
      <c r="F97" s="28" t="s">
        <v>1276</v>
      </c>
      <c r="G97" s="29">
        <v>1</v>
      </c>
      <c r="H97"/>
      <c r="I97"/>
      <c r="J97"/>
      <c r="K97" s="28" t="s">
        <v>1310</v>
      </c>
      <c r="L97" s="29">
        <v>11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x14ac:dyDescent="0.3">
      <c r="E98"/>
      <c r="F98" s="28" t="s">
        <v>1278</v>
      </c>
      <c r="G98" s="29">
        <v>3</v>
      </c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x14ac:dyDescent="0.3">
      <c r="E99"/>
      <c r="F99" s="28" t="s">
        <v>1310</v>
      </c>
      <c r="G99" s="29">
        <v>11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x14ac:dyDescent="0.3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x14ac:dyDescent="0.3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ht="18" x14ac:dyDescent="0.35">
      <c r="B102" s="20" t="s">
        <v>1352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x14ac:dyDescent="0.3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ht="18" x14ac:dyDescent="0.35">
      <c r="D104" s="32" t="s">
        <v>1353</v>
      </c>
      <c r="E104"/>
      <c r="F104"/>
      <c r="G104"/>
      <c r="H104"/>
      <c r="I104"/>
      <c r="J104"/>
      <c r="K104"/>
      <c r="L104"/>
      <c r="M104"/>
      <c r="N104"/>
      <c r="O104"/>
      <c r="P104"/>
    </row>
    <row r="105" spans="2:27" ht="18" x14ac:dyDescent="0.35">
      <c r="D105" s="32" t="s">
        <v>1354</v>
      </c>
      <c r="E105"/>
      <c r="F105"/>
      <c r="G105"/>
      <c r="H105"/>
      <c r="I105"/>
      <c r="J105"/>
      <c r="K105"/>
      <c r="L105"/>
      <c r="M105"/>
      <c r="N105"/>
      <c r="O105"/>
      <c r="P105"/>
    </row>
    <row r="106" spans="2:27" x14ac:dyDescent="0.3">
      <c r="E106"/>
      <c r="F106"/>
      <c r="G106"/>
      <c r="H106"/>
      <c r="I106"/>
      <c r="J106"/>
      <c r="K106"/>
      <c r="L106"/>
      <c r="M106"/>
      <c r="N106"/>
      <c r="O106"/>
      <c r="P106"/>
    </row>
    <row r="107" spans="2:27" x14ac:dyDescent="0.3">
      <c r="E107"/>
      <c r="F107"/>
      <c r="G107"/>
      <c r="H107"/>
      <c r="I107"/>
      <c r="J107"/>
      <c r="K107"/>
      <c r="L107"/>
      <c r="M107"/>
      <c r="N107"/>
      <c r="O107"/>
      <c r="P107"/>
    </row>
    <row r="108" spans="2:27" x14ac:dyDescent="0.3">
      <c r="E108"/>
      <c r="F108"/>
      <c r="G108"/>
      <c r="H108"/>
      <c r="I108"/>
      <c r="J108"/>
      <c r="K108"/>
      <c r="L108"/>
      <c r="M108"/>
      <c r="N108"/>
      <c r="O108"/>
      <c r="P108"/>
    </row>
    <row r="109" spans="2:27" x14ac:dyDescent="0.3">
      <c r="E109"/>
      <c r="F109"/>
      <c r="G109"/>
      <c r="H109"/>
      <c r="I109"/>
      <c r="J109"/>
      <c r="K109"/>
      <c r="L109"/>
      <c r="M109"/>
      <c r="N109"/>
      <c r="O109"/>
      <c r="P109"/>
    </row>
    <row r="110" spans="2:27" x14ac:dyDescent="0.3">
      <c r="E110"/>
      <c r="F110"/>
      <c r="G110"/>
      <c r="H110"/>
      <c r="I110"/>
      <c r="J110"/>
      <c r="K110"/>
      <c r="L110"/>
      <c r="M110"/>
      <c r="N110"/>
      <c r="O110"/>
      <c r="P110"/>
    </row>
    <row r="111" spans="2:27" x14ac:dyDescent="0.3">
      <c r="E111"/>
      <c r="F111"/>
      <c r="G111"/>
      <c r="H111"/>
      <c r="I111"/>
      <c r="J111"/>
      <c r="K111"/>
      <c r="L111"/>
      <c r="M111"/>
      <c r="N111"/>
      <c r="O111"/>
      <c r="P111"/>
    </row>
    <row r="112" spans="2:27" x14ac:dyDescent="0.3">
      <c r="E112"/>
      <c r="F112"/>
      <c r="G112"/>
      <c r="H112"/>
      <c r="I112"/>
      <c r="J112"/>
      <c r="K112"/>
      <c r="L112"/>
      <c r="M112"/>
      <c r="N112"/>
      <c r="O112"/>
      <c r="P112"/>
    </row>
    <row r="113" spans="5:16" x14ac:dyDescent="0.3">
      <c r="E113"/>
      <c r="F113"/>
      <c r="G113"/>
      <c r="H113"/>
      <c r="I113"/>
      <c r="J113"/>
      <c r="K113"/>
      <c r="L113"/>
      <c r="M113"/>
      <c r="N113"/>
      <c r="O113"/>
      <c r="P113"/>
    </row>
    <row r="114" spans="5:16" x14ac:dyDescent="0.3">
      <c r="E114"/>
      <c r="F114"/>
      <c r="G114"/>
      <c r="H114"/>
      <c r="I114"/>
      <c r="J114"/>
      <c r="K114"/>
      <c r="L114"/>
      <c r="M114"/>
      <c r="N114"/>
      <c r="O114"/>
      <c r="P114"/>
    </row>
    <row r="115" spans="5:16" x14ac:dyDescent="0.3">
      <c r="E115"/>
      <c r="F115"/>
      <c r="G115"/>
    </row>
    <row r="116" spans="5:16" x14ac:dyDescent="0.3">
      <c r="E116"/>
      <c r="F116"/>
      <c r="G116"/>
    </row>
    <row r="117" spans="5:16" x14ac:dyDescent="0.3">
      <c r="E117"/>
      <c r="F117"/>
      <c r="G117"/>
    </row>
    <row r="118" spans="5:16" x14ac:dyDescent="0.3">
      <c r="E118"/>
      <c r="F118"/>
      <c r="G118"/>
    </row>
    <row r="119" spans="5:16" x14ac:dyDescent="0.3">
      <c r="E119"/>
      <c r="F119"/>
      <c r="G119"/>
    </row>
    <row r="120" spans="5:16" x14ac:dyDescent="0.3">
      <c r="E120"/>
      <c r="F120"/>
      <c r="G120"/>
    </row>
    <row r="121" spans="5:16" x14ac:dyDescent="0.3">
      <c r="E121"/>
      <c r="F121"/>
      <c r="G121"/>
    </row>
    <row r="122" spans="5:16" x14ac:dyDescent="0.3">
      <c r="E122"/>
      <c r="F122"/>
      <c r="G122"/>
    </row>
    <row r="123" spans="5:16" x14ac:dyDescent="0.3">
      <c r="E123"/>
      <c r="F123"/>
      <c r="G123"/>
    </row>
    <row r="124" spans="5:16" x14ac:dyDescent="0.3">
      <c r="E124"/>
      <c r="F124"/>
      <c r="G124"/>
    </row>
    <row r="125" spans="5:16" x14ac:dyDescent="0.3">
      <c r="E125"/>
      <c r="F125"/>
      <c r="G125"/>
    </row>
    <row r="126" spans="5:16" x14ac:dyDescent="0.3">
      <c r="E126"/>
      <c r="F126"/>
      <c r="G126"/>
    </row>
    <row r="127" spans="5:16" x14ac:dyDescent="0.3">
      <c r="E127"/>
      <c r="F127"/>
      <c r="G127"/>
    </row>
    <row r="128" spans="5:16" x14ac:dyDescent="0.3">
      <c r="E128"/>
      <c r="F128"/>
      <c r="G128"/>
    </row>
    <row r="129" spans="5:7" x14ac:dyDescent="0.3">
      <c r="E129"/>
      <c r="F129"/>
      <c r="G129"/>
    </row>
    <row r="130" spans="5:7" x14ac:dyDescent="0.3">
      <c r="E130"/>
      <c r="F130"/>
      <c r="G130"/>
    </row>
    <row r="131" spans="5:7" x14ac:dyDescent="0.3">
      <c r="E131"/>
      <c r="F131"/>
      <c r="G131"/>
    </row>
    <row r="132" spans="5:7" x14ac:dyDescent="0.3">
      <c r="E132"/>
      <c r="F132"/>
      <c r="G132"/>
    </row>
    <row r="133" spans="5:7" x14ac:dyDescent="0.3">
      <c r="E133"/>
      <c r="F133"/>
      <c r="G133"/>
    </row>
    <row r="134" spans="5:7" x14ac:dyDescent="0.3">
      <c r="E134"/>
      <c r="F134"/>
      <c r="G134"/>
    </row>
    <row r="135" spans="5:7" x14ac:dyDescent="0.3">
      <c r="E135"/>
      <c r="F135"/>
      <c r="G135"/>
    </row>
    <row r="136" spans="5:7" x14ac:dyDescent="0.3">
      <c r="E136"/>
      <c r="F136"/>
      <c r="G136"/>
    </row>
    <row r="137" spans="5:7" x14ac:dyDescent="0.3">
      <c r="E137"/>
      <c r="F137"/>
      <c r="G137"/>
    </row>
    <row r="138" spans="5:7" x14ac:dyDescent="0.3">
      <c r="E138"/>
      <c r="F138"/>
      <c r="G138"/>
    </row>
    <row r="139" spans="5:7" x14ac:dyDescent="0.3">
      <c r="E139"/>
      <c r="F139"/>
      <c r="G139"/>
    </row>
    <row r="140" spans="5:7" x14ac:dyDescent="0.3">
      <c r="E140"/>
      <c r="F140"/>
      <c r="G140"/>
    </row>
    <row r="141" spans="5:7" x14ac:dyDescent="0.3">
      <c r="E141"/>
      <c r="F141"/>
      <c r="G141"/>
    </row>
    <row r="142" spans="5:7" x14ac:dyDescent="0.3">
      <c r="E142"/>
      <c r="F142"/>
      <c r="G142"/>
    </row>
    <row r="143" spans="5:7" x14ac:dyDescent="0.3">
      <c r="E143"/>
      <c r="F143"/>
      <c r="G143"/>
    </row>
    <row r="144" spans="5:7" x14ac:dyDescent="0.3">
      <c r="E144"/>
      <c r="F144"/>
      <c r="G144"/>
    </row>
    <row r="145" spans="5:7" x14ac:dyDescent="0.3">
      <c r="E145"/>
      <c r="F145"/>
      <c r="G145"/>
    </row>
    <row r="146" spans="5:7" x14ac:dyDescent="0.3">
      <c r="E146"/>
      <c r="F146"/>
      <c r="G146"/>
    </row>
    <row r="147" spans="5:7" x14ac:dyDescent="0.3">
      <c r="E147"/>
      <c r="F147"/>
      <c r="G147"/>
    </row>
    <row r="148" spans="5:7" x14ac:dyDescent="0.3">
      <c r="E148"/>
      <c r="F148"/>
      <c r="G148"/>
    </row>
    <row r="149" spans="5:7" x14ac:dyDescent="0.3">
      <c r="E149"/>
      <c r="F149"/>
      <c r="G149"/>
    </row>
    <row r="150" spans="5:7" x14ac:dyDescent="0.3">
      <c r="E150"/>
      <c r="F150"/>
      <c r="G150"/>
    </row>
    <row r="151" spans="5:7" x14ac:dyDescent="0.3">
      <c r="E151"/>
      <c r="F151"/>
      <c r="G151"/>
    </row>
    <row r="152" spans="5:7" x14ac:dyDescent="0.3">
      <c r="E152"/>
      <c r="F152"/>
      <c r="G152"/>
    </row>
    <row r="153" spans="5:7" x14ac:dyDescent="0.3">
      <c r="E153"/>
      <c r="F153"/>
      <c r="G153"/>
    </row>
    <row r="154" spans="5:7" x14ac:dyDescent="0.3">
      <c r="E154"/>
      <c r="F154"/>
      <c r="G154"/>
    </row>
    <row r="155" spans="5:7" x14ac:dyDescent="0.3">
      <c r="E155"/>
      <c r="F155"/>
      <c r="G155"/>
    </row>
    <row r="156" spans="5:7" x14ac:dyDescent="0.3">
      <c r="E156"/>
      <c r="F156"/>
      <c r="G156"/>
    </row>
    <row r="157" spans="5:7" x14ac:dyDescent="0.3">
      <c r="E157"/>
      <c r="F157"/>
      <c r="G157"/>
    </row>
    <row r="158" spans="5:7" x14ac:dyDescent="0.3">
      <c r="E158"/>
      <c r="F158"/>
      <c r="G158"/>
    </row>
    <row r="159" spans="5:7" x14ac:dyDescent="0.3">
      <c r="E159"/>
      <c r="F159"/>
      <c r="G159"/>
    </row>
    <row r="160" spans="5:7" x14ac:dyDescent="0.3">
      <c r="E160"/>
      <c r="F160"/>
      <c r="G160"/>
    </row>
    <row r="161" spans="5:7" x14ac:dyDescent="0.3">
      <c r="E161"/>
      <c r="F161"/>
      <c r="G161"/>
    </row>
    <row r="162" spans="5:7" x14ac:dyDescent="0.3">
      <c r="E162"/>
      <c r="F162"/>
      <c r="G162"/>
    </row>
    <row r="163" spans="5:7" x14ac:dyDescent="0.3">
      <c r="E163"/>
      <c r="F163"/>
      <c r="G163"/>
    </row>
    <row r="164" spans="5:7" x14ac:dyDescent="0.3">
      <c r="E164"/>
      <c r="F164"/>
      <c r="G164"/>
    </row>
    <row r="165" spans="5:7" x14ac:dyDescent="0.3">
      <c r="E165"/>
      <c r="F165"/>
      <c r="G165"/>
    </row>
    <row r="166" spans="5:7" x14ac:dyDescent="0.3">
      <c r="E166"/>
      <c r="F166"/>
      <c r="G166"/>
    </row>
    <row r="167" spans="5:7" x14ac:dyDescent="0.3">
      <c r="E167"/>
      <c r="F167"/>
      <c r="G167"/>
    </row>
    <row r="168" spans="5:7" x14ac:dyDescent="0.3">
      <c r="E168"/>
      <c r="F168"/>
      <c r="G168"/>
    </row>
    <row r="169" spans="5:7" x14ac:dyDescent="0.3">
      <c r="E169"/>
      <c r="F169"/>
      <c r="G169"/>
    </row>
    <row r="170" spans="5:7" x14ac:dyDescent="0.3">
      <c r="E170"/>
      <c r="F170"/>
      <c r="G170"/>
    </row>
    <row r="171" spans="5:7" x14ac:dyDescent="0.3">
      <c r="E171"/>
      <c r="F171"/>
      <c r="G171"/>
    </row>
    <row r="172" spans="5:7" x14ac:dyDescent="0.3">
      <c r="E172"/>
      <c r="F172"/>
      <c r="G172"/>
    </row>
    <row r="173" spans="5:7" x14ac:dyDescent="0.3">
      <c r="E173"/>
      <c r="F173"/>
      <c r="G173"/>
    </row>
    <row r="174" spans="5:7" x14ac:dyDescent="0.3">
      <c r="E174"/>
      <c r="F174"/>
      <c r="G174"/>
    </row>
    <row r="175" spans="5:7" x14ac:dyDescent="0.3">
      <c r="E175"/>
      <c r="F175"/>
      <c r="G175"/>
    </row>
    <row r="176" spans="5:7" x14ac:dyDescent="0.3">
      <c r="E176"/>
      <c r="F176"/>
      <c r="G176"/>
    </row>
    <row r="177" spans="5:7" x14ac:dyDescent="0.3">
      <c r="E177"/>
      <c r="F177"/>
      <c r="G177"/>
    </row>
    <row r="178" spans="5:7" x14ac:dyDescent="0.3">
      <c r="E178"/>
      <c r="F178"/>
      <c r="G178"/>
    </row>
    <row r="179" spans="5:7" x14ac:dyDescent="0.3">
      <c r="E179"/>
      <c r="F179"/>
      <c r="G179"/>
    </row>
    <row r="180" spans="5:7" x14ac:dyDescent="0.3">
      <c r="E180"/>
      <c r="F180"/>
      <c r="G180"/>
    </row>
    <row r="181" spans="5:7" x14ac:dyDescent="0.3">
      <c r="E181"/>
      <c r="F181"/>
      <c r="G181"/>
    </row>
    <row r="182" spans="5:7" x14ac:dyDescent="0.3">
      <c r="E182"/>
      <c r="F182"/>
      <c r="G182"/>
    </row>
    <row r="183" spans="5:7" x14ac:dyDescent="0.3">
      <c r="E183"/>
      <c r="F183"/>
      <c r="G183"/>
    </row>
    <row r="184" spans="5:7" x14ac:dyDescent="0.3">
      <c r="E184"/>
      <c r="F184"/>
      <c r="G184"/>
    </row>
    <row r="185" spans="5:7" x14ac:dyDescent="0.3">
      <c r="E185"/>
      <c r="F185"/>
      <c r="G185"/>
    </row>
    <row r="186" spans="5:7" x14ac:dyDescent="0.3">
      <c r="E186"/>
      <c r="F186"/>
      <c r="G186"/>
    </row>
    <row r="187" spans="5:7" x14ac:dyDescent="0.3">
      <c r="E187"/>
      <c r="F187"/>
      <c r="G187"/>
    </row>
    <row r="188" spans="5:7" x14ac:dyDescent="0.3">
      <c r="E188"/>
      <c r="F188"/>
      <c r="G188"/>
    </row>
    <row r="189" spans="5:7" x14ac:dyDescent="0.3">
      <c r="E189"/>
      <c r="F189"/>
      <c r="G189"/>
    </row>
    <row r="190" spans="5:7" x14ac:dyDescent="0.3">
      <c r="E190"/>
      <c r="F190"/>
      <c r="G190"/>
    </row>
    <row r="191" spans="5:7" x14ac:dyDescent="0.3">
      <c r="E191"/>
      <c r="F191"/>
      <c r="G191"/>
    </row>
    <row r="192" spans="5:7" x14ac:dyDescent="0.3">
      <c r="E192"/>
      <c r="F192"/>
      <c r="G192"/>
    </row>
    <row r="193" spans="5:7" x14ac:dyDescent="0.3">
      <c r="E193"/>
      <c r="F193"/>
      <c r="G193"/>
    </row>
    <row r="194" spans="5:7" x14ac:dyDescent="0.3">
      <c r="E194"/>
      <c r="F194"/>
      <c r="G194"/>
    </row>
    <row r="195" spans="5:7" x14ac:dyDescent="0.3">
      <c r="E195"/>
      <c r="F195"/>
      <c r="G195"/>
    </row>
    <row r="196" spans="5:7" x14ac:dyDescent="0.3">
      <c r="E196"/>
      <c r="F196"/>
      <c r="G196"/>
    </row>
    <row r="197" spans="5:7" x14ac:dyDescent="0.3">
      <c r="E197"/>
      <c r="F197"/>
      <c r="G197"/>
    </row>
    <row r="198" spans="5:7" x14ac:dyDescent="0.3">
      <c r="E198"/>
      <c r="F198"/>
      <c r="G198"/>
    </row>
    <row r="199" spans="5:7" x14ac:dyDescent="0.3">
      <c r="E199"/>
      <c r="F199"/>
      <c r="G199"/>
    </row>
    <row r="200" spans="5:7" x14ac:dyDescent="0.3">
      <c r="E200"/>
      <c r="F200"/>
      <c r="G200"/>
    </row>
    <row r="201" spans="5:7" x14ac:dyDescent="0.3">
      <c r="E201"/>
      <c r="F201"/>
      <c r="G201"/>
    </row>
    <row r="202" spans="5:7" x14ac:dyDescent="0.3">
      <c r="E202"/>
      <c r="F202"/>
      <c r="G202"/>
    </row>
    <row r="203" spans="5:7" x14ac:dyDescent="0.3">
      <c r="E203"/>
      <c r="F203"/>
      <c r="G203"/>
    </row>
    <row r="204" spans="5:7" x14ac:dyDescent="0.3">
      <c r="E204"/>
      <c r="F204"/>
      <c r="G204"/>
    </row>
    <row r="205" spans="5:7" x14ac:dyDescent="0.3">
      <c r="E205"/>
      <c r="F205"/>
      <c r="G205"/>
    </row>
    <row r="206" spans="5:7" x14ac:dyDescent="0.3">
      <c r="E206"/>
      <c r="F206"/>
      <c r="G206"/>
    </row>
    <row r="207" spans="5:7" x14ac:dyDescent="0.3">
      <c r="E207"/>
      <c r="F207"/>
      <c r="G207"/>
    </row>
    <row r="208" spans="5:7" x14ac:dyDescent="0.3">
      <c r="E208"/>
      <c r="F208"/>
      <c r="G208"/>
    </row>
    <row r="209" spans="5:7" x14ac:dyDescent="0.3">
      <c r="E209"/>
      <c r="F209"/>
      <c r="G209"/>
    </row>
    <row r="210" spans="5:7" x14ac:dyDescent="0.3">
      <c r="E210"/>
      <c r="F210"/>
      <c r="G210"/>
    </row>
    <row r="211" spans="5:7" x14ac:dyDescent="0.3">
      <c r="E211"/>
      <c r="F211"/>
      <c r="G211"/>
    </row>
    <row r="212" spans="5:7" x14ac:dyDescent="0.3">
      <c r="E212"/>
      <c r="F212"/>
      <c r="G212"/>
    </row>
    <row r="213" spans="5:7" x14ac:dyDescent="0.3">
      <c r="E213"/>
      <c r="F213"/>
      <c r="G213"/>
    </row>
    <row r="214" spans="5:7" x14ac:dyDescent="0.3">
      <c r="E214"/>
      <c r="F214"/>
      <c r="G214"/>
    </row>
    <row r="215" spans="5:7" x14ac:dyDescent="0.3">
      <c r="E215"/>
      <c r="F215"/>
      <c r="G215"/>
    </row>
    <row r="216" spans="5:7" x14ac:dyDescent="0.3">
      <c r="E216"/>
      <c r="F216"/>
      <c r="G216"/>
    </row>
    <row r="217" spans="5:7" x14ac:dyDescent="0.3">
      <c r="E217"/>
      <c r="F217"/>
      <c r="G217"/>
    </row>
    <row r="218" spans="5:7" x14ac:dyDescent="0.3">
      <c r="E218"/>
      <c r="F218"/>
      <c r="G218"/>
    </row>
    <row r="219" spans="5:7" x14ac:dyDescent="0.3">
      <c r="E219"/>
      <c r="F219"/>
      <c r="G219"/>
    </row>
    <row r="220" spans="5:7" x14ac:dyDescent="0.3">
      <c r="E220"/>
      <c r="F220"/>
      <c r="G220"/>
    </row>
    <row r="221" spans="5:7" x14ac:dyDescent="0.3">
      <c r="E221"/>
      <c r="F221"/>
      <c r="G221"/>
    </row>
    <row r="222" spans="5:7" x14ac:dyDescent="0.3">
      <c r="E222"/>
      <c r="F222"/>
      <c r="G222"/>
    </row>
    <row r="223" spans="5:7" x14ac:dyDescent="0.3">
      <c r="E223"/>
      <c r="F223"/>
      <c r="G223"/>
    </row>
    <row r="224" spans="5:7" x14ac:dyDescent="0.3">
      <c r="E224"/>
      <c r="F224"/>
      <c r="G224"/>
    </row>
    <row r="225" spans="5:7" x14ac:dyDescent="0.3">
      <c r="E225"/>
      <c r="F225"/>
      <c r="G225"/>
    </row>
    <row r="226" spans="5:7" x14ac:dyDescent="0.3">
      <c r="E226"/>
      <c r="F226"/>
      <c r="G226"/>
    </row>
    <row r="227" spans="5:7" x14ac:dyDescent="0.3">
      <c r="E227"/>
      <c r="F227"/>
      <c r="G227"/>
    </row>
    <row r="228" spans="5:7" x14ac:dyDescent="0.3">
      <c r="E228"/>
      <c r="F228"/>
      <c r="G228"/>
    </row>
    <row r="229" spans="5:7" x14ac:dyDescent="0.3">
      <c r="E229"/>
      <c r="F229"/>
      <c r="G229"/>
    </row>
    <row r="230" spans="5:7" x14ac:dyDescent="0.3">
      <c r="E230"/>
      <c r="F230"/>
      <c r="G230"/>
    </row>
    <row r="231" spans="5:7" x14ac:dyDescent="0.3">
      <c r="E231"/>
      <c r="F231"/>
      <c r="G231"/>
    </row>
    <row r="232" spans="5:7" x14ac:dyDescent="0.3">
      <c r="E232"/>
      <c r="F232"/>
      <c r="G232"/>
    </row>
    <row r="233" spans="5:7" x14ac:dyDescent="0.3">
      <c r="E233"/>
      <c r="F233"/>
      <c r="G233"/>
    </row>
    <row r="234" spans="5:7" x14ac:dyDescent="0.3">
      <c r="E234"/>
      <c r="F234"/>
      <c r="G234"/>
    </row>
    <row r="235" spans="5:7" x14ac:dyDescent="0.3">
      <c r="E235"/>
      <c r="F235"/>
      <c r="G235"/>
    </row>
    <row r="236" spans="5:7" x14ac:dyDescent="0.3">
      <c r="E236"/>
      <c r="F236"/>
      <c r="G236"/>
    </row>
    <row r="237" spans="5:7" x14ac:dyDescent="0.3">
      <c r="E237"/>
      <c r="F237"/>
      <c r="G237"/>
    </row>
    <row r="238" spans="5:7" x14ac:dyDescent="0.3">
      <c r="E238"/>
      <c r="F238"/>
      <c r="G238"/>
    </row>
    <row r="239" spans="5:7" x14ac:dyDescent="0.3">
      <c r="E239"/>
      <c r="F239"/>
      <c r="G239"/>
    </row>
    <row r="240" spans="5:7" x14ac:dyDescent="0.3">
      <c r="E240"/>
      <c r="F240"/>
      <c r="G240"/>
    </row>
    <row r="241" spans="5:7" x14ac:dyDescent="0.3">
      <c r="E241"/>
      <c r="F241"/>
      <c r="G241"/>
    </row>
    <row r="242" spans="5:7" x14ac:dyDescent="0.3">
      <c r="E242"/>
      <c r="F242"/>
      <c r="G242"/>
    </row>
    <row r="243" spans="5:7" x14ac:dyDescent="0.3">
      <c r="E243"/>
      <c r="F243"/>
      <c r="G243"/>
    </row>
    <row r="244" spans="5:7" x14ac:dyDescent="0.3">
      <c r="E244"/>
      <c r="F244"/>
      <c r="G244"/>
    </row>
    <row r="245" spans="5:7" x14ac:dyDescent="0.3">
      <c r="E245"/>
      <c r="F245"/>
      <c r="G245"/>
    </row>
    <row r="246" spans="5:7" x14ac:dyDescent="0.3">
      <c r="E246"/>
      <c r="F246"/>
      <c r="G246"/>
    </row>
    <row r="247" spans="5:7" x14ac:dyDescent="0.3">
      <c r="E247"/>
      <c r="F247"/>
      <c r="G247"/>
    </row>
    <row r="248" spans="5:7" x14ac:dyDescent="0.3">
      <c r="E248"/>
      <c r="F248"/>
      <c r="G248"/>
    </row>
    <row r="249" spans="5:7" x14ac:dyDescent="0.3">
      <c r="E249"/>
      <c r="F249"/>
      <c r="G249"/>
    </row>
    <row r="250" spans="5:7" x14ac:dyDescent="0.3">
      <c r="E250"/>
      <c r="F250"/>
      <c r="G250"/>
    </row>
    <row r="251" spans="5:7" x14ac:dyDescent="0.3">
      <c r="E251"/>
      <c r="F251"/>
      <c r="G251"/>
    </row>
    <row r="252" spans="5:7" x14ac:dyDescent="0.3">
      <c r="E252"/>
      <c r="F252"/>
      <c r="G252"/>
    </row>
    <row r="253" spans="5:7" x14ac:dyDescent="0.3">
      <c r="E253"/>
      <c r="F253"/>
      <c r="G253"/>
    </row>
    <row r="254" spans="5:7" x14ac:dyDescent="0.3">
      <c r="E254"/>
      <c r="F254"/>
      <c r="G254"/>
    </row>
    <row r="255" spans="5:7" x14ac:dyDescent="0.3">
      <c r="E255"/>
      <c r="F255"/>
      <c r="G255"/>
    </row>
    <row r="256" spans="5:7" x14ac:dyDescent="0.3">
      <c r="E256"/>
      <c r="F256"/>
      <c r="G256"/>
    </row>
    <row r="257" spans="5:7" x14ac:dyDescent="0.3">
      <c r="E257"/>
      <c r="F257"/>
      <c r="G257"/>
    </row>
    <row r="258" spans="5:7" x14ac:dyDescent="0.3">
      <c r="E258"/>
      <c r="F258"/>
      <c r="G258"/>
    </row>
    <row r="259" spans="5:7" x14ac:dyDescent="0.3">
      <c r="E259"/>
      <c r="F259"/>
      <c r="G259"/>
    </row>
    <row r="260" spans="5:7" x14ac:dyDescent="0.3">
      <c r="E260"/>
      <c r="F260"/>
      <c r="G260"/>
    </row>
    <row r="261" spans="5:7" x14ac:dyDescent="0.3">
      <c r="E261"/>
      <c r="F261"/>
      <c r="G261"/>
    </row>
    <row r="262" spans="5:7" x14ac:dyDescent="0.3">
      <c r="E262"/>
      <c r="F262"/>
      <c r="G262"/>
    </row>
    <row r="263" spans="5:7" x14ac:dyDescent="0.3">
      <c r="E263"/>
      <c r="F263"/>
      <c r="G263"/>
    </row>
    <row r="264" spans="5:7" x14ac:dyDescent="0.3">
      <c r="E264"/>
      <c r="F264"/>
      <c r="G264"/>
    </row>
    <row r="265" spans="5:7" x14ac:dyDescent="0.3">
      <c r="E265"/>
      <c r="F265"/>
      <c r="G265"/>
    </row>
    <row r="266" spans="5:7" x14ac:dyDescent="0.3">
      <c r="E266"/>
      <c r="F266"/>
      <c r="G266"/>
    </row>
    <row r="267" spans="5:7" x14ac:dyDescent="0.3">
      <c r="E267"/>
      <c r="F267"/>
      <c r="G267"/>
    </row>
    <row r="268" spans="5:7" x14ac:dyDescent="0.3">
      <c r="E268"/>
      <c r="F268"/>
      <c r="G268"/>
    </row>
    <row r="269" spans="5:7" x14ac:dyDescent="0.3">
      <c r="E269"/>
      <c r="F269"/>
      <c r="G269"/>
    </row>
    <row r="270" spans="5:7" x14ac:dyDescent="0.3">
      <c r="E270"/>
      <c r="F270"/>
      <c r="G270"/>
    </row>
    <row r="271" spans="5:7" x14ac:dyDescent="0.3">
      <c r="E271"/>
      <c r="F271"/>
      <c r="G271"/>
    </row>
    <row r="272" spans="5:7" x14ac:dyDescent="0.3">
      <c r="E272"/>
      <c r="F272"/>
      <c r="G272"/>
    </row>
    <row r="273" spans="5:7" x14ac:dyDescent="0.3">
      <c r="E273"/>
      <c r="F273"/>
      <c r="G273"/>
    </row>
    <row r="274" spans="5:7" x14ac:dyDescent="0.3">
      <c r="E274"/>
      <c r="F274"/>
      <c r="G274"/>
    </row>
    <row r="275" spans="5:7" x14ac:dyDescent="0.3">
      <c r="E275"/>
      <c r="F275"/>
      <c r="G275"/>
    </row>
    <row r="276" spans="5:7" x14ac:dyDescent="0.3">
      <c r="E276"/>
      <c r="F276"/>
      <c r="G276"/>
    </row>
    <row r="277" spans="5:7" x14ac:dyDescent="0.3">
      <c r="E277"/>
      <c r="F277"/>
      <c r="G277"/>
    </row>
    <row r="278" spans="5:7" x14ac:dyDescent="0.3">
      <c r="E278"/>
      <c r="F278"/>
      <c r="G278"/>
    </row>
    <row r="279" spans="5:7" x14ac:dyDescent="0.3">
      <c r="E279"/>
      <c r="F279"/>
      <c r="G279"/>
    </row>
    <row r="280" spans="5:7" x14ac:dyDescent="0.3">
      <c r="E280"/>
      <c r="F280"/>
      <c r="G280"/>
    </row>
    <row r="281" spans="5:7" x14ac:dyDescent="0.3">
      <c r="E281"/>
      <c r="F281"/>
      <c r="G281"/>
    </row>
    <row r="282" spans="5:7" x14ac:dyDescent="0.3">
      <c r="E282"/>
      <c r="F282"/>
      <c r="G282"/>
    </row>
    <row r="283" spans="5:7" x14ac:dyDescent="0.3">
      <c r="E283"/>
      <c r="F283"/>
      <c r="G283"/>
    </row>
    <row r="284" spans="5:7" x14ac:dyDescent="0.3">
      <c r="E284"/>
      <c r="F284"/>
      <c r="G284"/>
    </row>
    <row r="285" spans="5:7" x14ac:dyDescent="0.3">
      <c r="E285"/>
      <c r="F285"/>
      <c r="G285"/>
    </row>
    <row r="286" spans="5:7" x14ac:dyDescent="0.3">
      <c r="E286"/>
      <c r="F286"/>
      <c r="G286"/>
    </row>
    <row r="287" spans="5:7" x14ac:dyDescent="0.3">
      <c r="E287"/>
      <c r="F287"/>
      <c r="G287"/>
    </row>
    <row r="288" spans="5:7" x14ac:dyDescent="0.3">
      <c r="E288"/>
      <c r="F288"/>
      <c r="G288"/>
    </row>
    <row r="289" spans="5:7" x14ac:dyDescent="0.3">
      <c r="E289"/>
      <c r="F289"/>
      <c r="G289"/>
    </row>
    <row r="290" spans="5:7" x14ac:dyDescent="0.3">
      <c r="E290"/>
      <c r="F290"/>
      <c r="G290"/>
    </row>
    <row r="291" spans="5:7" x14ac:dyDescent="0.3">
      <c r="E291"/>
      <c r="F291"/>
      <c r="G291"/>
    </row>
    <row r="292" spans="5:7" x14ac:dyDescent="0.3">
      <c r="E292"/>
      <c r="F292"/>
      <c r="G292"/>
    </row>
    <row r="293" spans="5:7" x14ac:dyDescent="0.3">
      <c r="E293"/>
      <c r="F293"/>
      <c r="G293"/>
    </row>
    <row r="294" spans="5:7" x14ac:dyDescent="0.3">
      <c r="E294"/>
      <c r="F294"/>
      <c r="G294"/>
    </row>
    <row r="295" spans="5:7" x14ac:dyDescent="0.3">
      <c r="E295"/>
      <c r="F295"/>
      <c r="G295"/>
    </row>
    <row r="296" spans="5:7" x14ac:dyDescent="0.3">
      <c r="E296"/>
      <c r="F296"/>
      <c r="G296"/>
    </row>
    <row r="297" spans="5:7" x14ac:dyDescent="0.3">
      <c r="E297"/>
      <c r="F297"/>
      <c r="G297"/>
    </row>
    <row r="298" spans="5:7" x14ac:dyDescent="0.3">
      <c r="E298"/>
      <c r="F298"/>
      <c r="G298"/>
    </row>
    <row r="299" spans="5:7" x14ac:dyDescent="0.3">
      <c r="E299"/>
      <c r="F299"/>
      <c r="G299"/>
    </row>
    <row r="300" spans="5:7" x14ac:dyDescent="0.3">
      <c r="E300"/>
      <c r="F300"/>
      <c r="G300"/>
    </row>
    <row r="301" spans="5:7" x14ac:dyDescent="0.3">
      <c r="E301"/>
      <c r="F301"/>
      <c r="G301"/>
    </row>
    <row r="302" spans="5:7" x14ac:dyDescent="0.3">
      <c r="E302"/>
      <c r="F302"/>
      <c r="G302"/>
    </row>
    <row r="303" spans="5:7" x14ac:dyDescent="0.3">
      <c r="E303"/>
      <c r="F303"/>
      <c r="G303"/>
    </row>
    <row r="304" spans="5:7" x14ac:dyDescent="0.3">
      <c r="E304"/>
      <c r="F304"/>
      <c r="G304"/>
    </row>
    <row r="305" spans="5:7" x14ac:dyDescent="0.3">
      <c r="E305"/>
      <c r="F305"/>
      <c r="G305"/>
    </row>
    <row r="306" spans="5:7" x14ac:dyDescent="0.3">
      <c r="E306"/>
      <c r="F306"/>
      <c r="G306"/>
    </row>
    <row r="307" spans="5:7" x14ac:dyDescent="0.3">
      <c r="E307"/>
      <c r="F307"/>
      <c r="G307"/>
    </row>
    <row r="308" spans="5:7" x14ac:dyDescent="0.3">
      <c r="E308"/>
      <c r="F308"/>
      <c r="G308"/>
    </row>
    <row r="309" spans="5:7" x14ac:dyDescent="0.3">
      <c r="E309"/>
      <c r="F309"/>
      <c r="G309"/>
    </row>
    <row r="310" spans="5:7" x14ac:dyDescent="0.3">
      <c r="E310"/>
      <c r="F310"/>
      <c r="G310"/>
    </row>
    <row r="311" spans="5:7" x14ac:dyDescent="0.3">
      <c r="E311"/>
      <c r="F311"/>
      <c r="G311"/>
    </row>
    <row r="312" spans="5:7" x14ac:dyDescent="0.3">
      <c r="E312"/>
      <c r="F312"/>
      <c r="G312"/>
    </row>
    <row r="313" spans="5:7" x14ac:dyDescent="0.3">
      <c r="E313"/>
      <c r="F313"/>
      <c r="G313"/>
    </row>
    <row r="314" spans="5:7" x14ac:dyDescent="0.3">
      <c r="E314"/>
      <c r="F314"/>
      <c r="G314"/>
    </row>
    <row r="315" spans="5:7" x14ac:dyDescent="0.3">
      <c r="E315"/>
      <c r="F315"/>
      <c r="G315"/>
    </row>
    <row r="316" spans="5:7" x14ac:dyDescent="0.3">
      <c r="E316"/>
      <c r="F316"/>
      <c r="G316"/>
    </row>
    <row r="317" spans="5:7" x14ac:dyDescent="0.3">
      <c r="E317"/>
      <c r="F317"/>
      <c r="G317"/>
    </row>
    <row r="318" spans="5:7" x14ac:dyDescent="0.3">
      <c r="E318"/>
      <c r="F318"/>
      <c r="G318"/>
    </row>
    <row r="319" spans="5:7" x14ac:dyDescent="0.3">
      <c r="E319"/>
      <c r="F319"/>
      <c r="G319"/>
    </row>
    <row r="320" spans="5:7" x14ac:dyDescent="0.3">
      <c r="E320"/>
      <c r="F320"/>
      <c r="G320"/>
    </row>
    <row r="321" spans="5:7" x14ac:dyDescent="0.3">
      <c r="E321"/>
      <c r="F321"/>
      <c r="G321"/>
    </row>
    <row r="322" spans="5:7" x14ac:dyDescent="0.3">
      <c r="E322"/>
      <c r="F322"/>
      <c r="G322"/>
    </row>
    <row r="323" spans="5:7" x14ac:dyDescent="0.3">
      <c r="E323"/>
      <c r="F323"/>
      <c r="G323"/>
    </row>
    <row r="324" spans="5:7" x14ac:dyDescent="0.3">
      <c r="E324"/>
      <c r="F324"/>
      <c r="G324"/>
    </row>
    <row r="325" spans="5:7" x14ac:dyDescent="0.3">
      <c r="E325"/>
      <c r="F325"/>
      <c r="G325"/>
    </row>
    <row r="326" spans="5:7" x14ac:dyDescent="0.3">
      <c r="E326"/>
      <c r="F326"/>
      <c r="G326"/>
    </row>
    <row r="327" spans="5:7" x14ac:dyDescent="0.3">
      <c r="E327"/>
      <c r="F327"/>
      <c r="G327"/>
    </row>
    <row r="328" spans="5:7" x14ac:dyDescent="0.3">
      <c r="E328"/>
      <c r="F328"/>
      <c r="G328"/>
    </row>
    <row r="329" spans="5:7" x14ac:dyDescent="0.3">
      <c r="E329"/>
      <c r="F329"/>
      <c r="G329"/>
    </row>
    <row r="330" spans="5:7" x14ac:dyDescent="0.3">
      <c r="E330"/>
      <c r="F330"/>
      <c r="G330"/>
    </row>
    <row r="331" spans="5:7" x14ac:dyDescent="0.3">
      <c r="E331"/>
      <c r="F331"/>
      <c r="G331"/>
    </row>
    <row r="332" spans="5:7" x14ac:dyDescent="0.3">
      <c r="E332"/>
      <c r="F332"/>
      <c r="G332"/>
    </row>
    <row r="333" spans="5:7" x14ac:dyDescent="0.3">
      <c r="E333"/>
      <c r="F333"/>
      <c r="G333"/>
    </row>
    <row r="334" spans="5:7" x14ac:dyDescent="0.3">
      <c r="E334"/>
      <c r="F334"/>
      <c r="G334"/>
    </row>
    <row r="335" spans="5:7" x14ac:dyDescent="0.3">
      <c r="E335"/>
      <c r="F335"/>
      <c r="G335"/>
    </row>
    <row r="336" spans="5:7" x14ac:dyDescent="0.3">
      <c r="E336"/>
      <c r="F336"/>
      <c r="G336"/>
    </row>
    <row r="337" spans="5:7" x14ac:dyDescent="0.3">
      <c r="E337"/>
      <c r="F337"/>
      <c r="G337"/>
    </row>
    <row r="338" spans="5:7" x14ac:dyDescent="0.3">
      <c r="E338"/>
      <c r="F338"/>
      <c r="G338"/>
    </row>
    <row r="339" spans="5:7" x14ac:dyDescent="0.3">
      <c r="E339"/>
      <c r="F339"/>
      <c r="G339"/>
    </row>
    <row r="340" spans="5:7" x14ac:dyDescent="0.3">
      <c r="E340"/>
      <c r="F340"/>
      <c r="G340"/>
    </row>
    <row r="341" spans="5:7" x14ac:dyDescent="0.3">
      <c r="E341"/>
      <c r="F341"/>
      <c r="G341"/>
    </row>
    <row r="342" spans="5:7" x14ac:dyDescent="0.3">
      <c r="E342"/>
      <c r="F342"/>
      <c r="G342"/>
    </row>
    <row r="343" spans="5:7" x14ac:dyDescent="0.3">
      <c r="E343"/>
      <c r="F343"/>
      <c r="G343"/>
    </row>
    <row r="344" spans="5:7" x14ac:dyDescent="0.3">
      <c r="E344"/>
      <c r="F344"/>
      <c r="G344"/>
    </row>
    <row r="345" spans="5:7" x14ac:dyDescent="0.3">
      <c r="E345"/>
      <c r="F345"/>
      <c r="G345"/>
    </row>
    <row r="346" spans="5:7" x14ac:dyDescent="0.3">
      <c r="E346"/>
      <c r="F346"/>
      <c r="G346"/>
    </row>
    <row r="347" spans="5:7" x14ac:dyDescent="0.3">
      <c r="E347"/>
      <c r="F347"/>
      <c r="G347"/>
    </row>
    <row r="348" spans="5:7" x14ac:dyDescent="0.3">
      <c r="E348"/>
      <c r="F348"/>
      <c r="G348"/>
    </row>
    <row r="349" spans="5:7" x14ac:dyDescent="0.3">
      <c r="E349"/>
      <c r="F349"/>
      <c r="G349"/>
    </row>
    <row r="350" spans="5:7" x14ac:dyDescent="0.3">
      <c r="E350"/>
      <c r="F350"/>
      <c r="G350"/>
    </row>
    <row r="351" spans="5:7" x14ac:dyDescent="0.3">
      <c r="E351"/>
      <c r="F351"/>
      <c r="G351"/>
    </row>
    <row r="352" spans="5:7" x14ac:dyDescent="0.3">
      <c r="E352"/>
      <c r="F352"/>
      <c r="G352"/>
    </row>
    <row r="353" spans="5:7" x14ac:dyDescent="0.3">
      <c r="E353"/>
      <c r="F353"/>
      <c r="G353"/>
    </row>
    <row r="354" spans="5:7" x14ac:dyDescent="0.3">
      <c r="E354"/>
      <c r="F354"/>
      <c r="G354"/>
    </row>
    <row r="355" spans="5:7" x14ac:dyDescent="0.3">
      <c r="E355"/>
      <c r="F355"/>
      <c r="G355"/>
    </row>
    <row r="356" spans="5:7" x14ac:dyDescent="0.3">
      <c r="E356"/>
      <c r="F356"/>
      <c r="G356"/>
    </row>
    <row r="357" spans="5:7" x14ac:dyDescent="0.3">
      <c r="E357"/>
      <c r="F357"/>
      <c r="G357"/>
    </row>
    <row r="358" spans="5:7" x14ac:dyDescent="0.3">
      <c r="E358"/>
      <c r="F358"/>
      <c r="G358"/>
    </row>
    <row r="359" spans="5:7" x14ac:dyDescent="0.3">
      <c r="E359"/>
      <c r="F359"/>
      <c r="G359"/>
    </row>
    <row r="360" spans="5:7" x14ac:dyDescent="0.3">
      <c r="E360"/>
      <c r="F360"/>
      <c r="G360"/>
    </row>
    <row r="361" spans="5:7" x14ac:dyDescent="0.3">
      <c r="E361"/>
      <c r="F361"/>
      <c r="G361"/>
    </row>
    <row r="362" spans="5:7" x14ac:dyDescent="0.3">
      <c r="E362"/>
      <c r="F362"/>
      <c r="G362"/>
    </row>
    <row r="363" spans="5:7" x14ac:dyDescent="0.3">
      <c r="E363"/>
      <c r="F363"/>
      <c r="G363"/>
    </row>
    <row r="364" spans="5:7" x14ac:dyDescent="0.3">
      <c r="E364"/>
      <c r="F364"/>
      <c r="G364"/>
    </row>
    <row r="365" spans="5:7" x14ac:dyDescent="0.3">
      <c r="E365"/>
      <c r="F365"/>
      <c r="G365"/>
    </row>
    <row r="366" spans="5:7" x14ac:dyDescent="0.3">
      <c r="E366"/>
      <c r="F366"/>
      <c r="G366"/>
    </row>
    <row r="367" spans="5:7" x14ac:dyDescent="0.3">
      <c r="E367"/>
      <c r="F367"/>
      <c r="G367"/>
    </row>
    <row r="368" spans="5:7" x14ac:dyDescent="0.3">
      <c r="E368"/>
      <c r="F368"/>
      <c r="G368"/>
    </row>
    <row r="369" spans="5:7" x14ac:dyDescent="0.3">
      <c r="E369"/>
      <c r="F369"/>
      <c r="G369"/>
    </row>
    <row r="370" spans="5:7" x14ac:dyDescent="0.3">
      <c r="E370"/>
      <c r="F370"/>
      <c r="G370"/>
    </row>
    <row r="371" spans="5:7" x14ac:dyDescent="0.3">
      <c r="E371"/>
      <c r="F371"/>
      <c r="G371"/>
    </row>
    <row r="372" spans="5:7" x14ac:dyDescent="0.3">
      <c r="E372"/>
      <c r="F372"/>
      <c r="G372"/>
    </row>
    <row r="373" spans="5:7" x14ac:dyDescent="0.3">
      <c r="E373"/>
      <c r="F373"/>
      <c r="G373"/>
    </row>
    <row r="374" spans="5:7" x14ac:dyDescent="0.3">
      <c r="E374"/>
      <c r="F374"/>
      <c r="G374"/>
    </row>
    <row r="375" spans="5:7" x14ac:dyDescent="0.3">
      <c r="E375"/>
      <c r="F375"/>
      <c r="G375"/>
    </row>
    <row r="376" spans="5:7" x14ac:dyDescent="0.3">
      <c r="E376"/>
      <c r="F376"/>
      <c r="G376"/>
    </row>
    <row r="377" spans="5:7" x14ac:dyDescent="0.3">
      <c r="E377"/>
      <c r="F377"/>
      <c r="G377"/>
    </row>
    <row r="378" spans="5:7" x14ac:dyDescent="0.3">
      <c r="E378"/>
      <c r="F378"/>
      <c r="G378"/>
    </row>
    <row r="379" spans="5:7" x14ac:dyDescent="0.3">
      <c r="E379"/>
      <c r="F379"/>
      <c r="G379"/>
    </row>
    <row r="380" spans="5:7" x14ac:dyDescent="0.3">
      <c r="E380"/>
      <c r="F380"/>
      <c r="G380"/>
    </row>
    <row r="381" spans="5:7" x14ac:dyDescent="0.3">
      <c r="E381"/>
      <c r="F381"/>
      <c r="G381"/>
    </row>
    <row r="382" spans="5:7" x14ac:dyDescent="0.3">
      <c r="E382"/>
      <c r="F382"/>
      <c r="G382"/>
    </row>
    <row r="383" spans="5:7" x14ac:dyDescent="0.3">
      <c r="E383"/>
      <c r="F383"/>
      <c r="G383"/>
    </row>
    <row r="384" spans="5:7" x14ac:dyDescent="0.3">
      <c r="E384"/>
      <c r="F384"/>
      <c r="G384"/>
    </row>
    <row r="385" spans="5:7" x14ac:dyDescent="0.3">
      <c r="E385"/>
      <c r="F385"/>
      <c r="G385"/>
    </row>
    <row r="386" spans="5:7" x14ac:dyDescent="0.3">
      <c r="E386"/>
      <c r="F386"/>
      <c r="G386"/>
    </row>
    <row r="387" spans="5:7" x14ac:dyDescent="0.3">
      <c r="E387"/>
      <c r="F387"/>
      <c r="G387"/>
    </row>
    <row r="388" spans="5:7" x14ac:dyDescent="0.3">
      <c r="E388"/>
      <c r="F388"/>
      <c r="G388"/>
    </row>
    <row r="389" spans="5:7" x14ac:dyDescent="0.3">
      <c r="E389"/>
      <c r="F389"/>
      <c r="G389"/>
    </row>
    <row r="390" spans="5:7" x14ac:dyDescent="0.3">
      <c r="E390"/>
      <c r="F390"/>
      <c r="G390"/>
    </row>
    <row r="391" spans="5:7" x14ac:dyDescent="0.3">
      <c r="E391"/>
      <c r="F391"/>
      <c r="G391"/>
    </row>
    <row r="392" spans="5:7" x14ac:dyDescent="0.3">
      <c r="E392"/>
      <c r="F392"/>
      <c r="G392"/>
    </row>
    <row r="393" spans="5:7" x14ac:dyDescent="0.3">
      <c r="E393"/>
      <c r="F393"/>
      <c r="G393"/>
    </row>
    <row r="394" spans="5:7" x14ac:dyDescent="0.3">
      <c r="E394"/>
      <c r="F394"/>
      <c r="G394"/>
    </row>
    <row r="395" spans="5:7" x14ac:dyDescent="0.3">
      <c r="E395"/>
      <c r="F395"/>
      <c r="G395"/>
    </row>
    <row r="396" spans="5:7" x14ac:dyDescent="0.3">
      <c r="E396"/>
      <c r="F396"/>
      <c r="G396"/>
    </row>
    <row r="397" spans="5:7" x14ac:dyDescent="0.3">
      <c r="E397"/>
      <c r="F397"/>
      <c r="G397"/>
    </row>
    <row r="398" spans="5:7" x14ac:dyDescent="0.3">
      <c r="E398"/>
      <c r="F398"/>
      <c r="G398"/>
    </row>
    <row r="399" spans="5:7" x14ac:dyDescent="0.3">
      <c r="E399"/>
      <c r="F399"/>
      <c r="G399"/>
    </row>
    <row r="400" spans="5:7" x14ac:dyDescent="0.3">
      <c r="E400"/>
      <c r="F400"/>
      <c r="G400"/>
    </row>
    <row r="401" spans="5:7" x14ac:dyDescent="0.3">
      <c r="E401"/>
      <c r="F401"/>
      <c r="G401"/>
    </row>
    <row r="402" spans="5:7" x14ac:dyDescent="0.3">
      <c r="E402"/>
      <c r="F402"/>
      <c r="G402"/>
    </row>
    <row r="403" spans="5:7" x14ac:dyDescent="0.3">
      <c r="E403"/>
      <c r="F403"/>
      <c r="G403"/>
    </row>
    <row r="404" spans="5:7" x14ac:dyDescent="0.3">
      <c r="E404"/>
      <c r="F404"/>
      <c r="G404"/>
    </row>
    <row r="405" spans="5:7" x14ac:dyDescent="0.3">
      <c r="E405"/>
      <c r="F405"/>
      <c r="G405"/>
    </row>
    <row r="406" spans="5:7" x14ac:dyDescent="0.3">
      <c r="E406"/>
      <c r="F406"/>
      <c r="G406"/>
    </row>
    <row r="407" spans="5:7" x14ac:dyDescent="0.3">
      <c r="E407"/>
      <c r="F407"/>
      <c r="G407"/>
    </row>
    <row r="408" spans="5:7" x14ac:dyDescent="0.3">
      <c r="E408"/>
      <c r="F408"/>
      <c r="G408"/>
    </row>
    <row r="409" spans="5:7" x14ac:dyDescent="0.3">
      <c r="E409"/>
      <c r="F409"/>
      <c r="G409"/>
    </row>
    <row r="410" spans="5:7" x14ac:dyDescent="0.3">
      <c r="E410"/>
      <c r="F410"/>
      <c r="G410"/>
    </row>
    <row r="411" spans="5:7" x14ac:dyDescent="0.3">
      <c r="E411"/>
      <c r="F411"/>
      <c r="G411"/>
    </row>
    <row r="412" spans="5:7" x14ac:dyDescent="0.3">
      <c r="E412"/>
      <c r="F412"/>
      <c r="G412"/>
    </row>
    <row r="413" spans="5:7" x14ac:dyDescent="0.3">
      <c r="E413"/>
      <c r="F413"/>
      <c r="G413"/>
    </row>
    <row r="414" spans="5:7" x14ac:dyDescent="0.3">
      <c r="E414"/>
      <c r="F414"/>
      <c r="G414"/>
    </row>
    <row r="415" spans="5:7" x14ac:dyDescent="0.3">
      <c r="E415"/>
      <c r="F415"/>
      <c r="G415"/>
    </row>
    <row r="416" spans="5:7" x14ac:dyDescent="0.3">
      <c r="E416"/>
      <c r="F416"/>
      <c r="G416"/>
    </row>
    <row r="417" spans="5:7" x14ac:dyDescent="0.3">
      <c r="E417"/>
      <c r="F417"/>
      <c r="G417"/>
    </row>
    <row r="418" spans="5:7" x14ac:dyDescent="0.3">
      <c r="E418"/>
      <c r="F418"/>
      <c r="G418"/>
    </row>
    <row r="419" spans="5:7" x14ac:dyDescent="0.3">
      <c r="E419"/>
      <c r="F419"/>
      <c r="G419"/>
    </row>
    <row r="420" spans="5:7" x14ac:dyDescent="0.3">
      <c r="E420"/>
      <c r="F420"/>
      <c r="G420"/>
    </row>
    <row r="421" spans="5:7" x14ac:dyDescent="0.3">
      <c r="E421"/>
      <c r="F421"/>
      <c r="G421"/>
    </row>
    <row r="422" spans="5:7" x14ac:dyDescent="0.3">
      <c r="E422"/>
      <c r="F422"/>
      <c r="G422"/>
    </row>
    <row r="423" spans="5:7" x14ac:dyDescent="0.3">
      <c r="E423"/>
      <c r="F423"/>
      <c r="G423"/>
    </row>
    <row r="424" spans="5:7" x14ac:dyDescent="0.3">
      <c r="E424"/>
      <c r="F424"/>
      <c r="G424"/>
    </row>
    <row r="425" spans="5:7" x14ac:dyDescent="0.3">
      <c r="E425"/>
      <c r="F425"/>
      <c r="G425"/>
    </row>
    <row r="426" spans="5:7" x14ac:dyDescent="0.3">
      <c r="E426"/>
      <c r="F426"/>
      <c r="G426"/>
    </row>
    <row r="427" spans="5:7" x14ac:dyDescent="0.3">
      <c r="E427"/>
      <c r="F427"/>
      <c r="G427"/>
    </row>
    <row r="428" spans="5:7" x14ac:dyDescent="0.3">
      <c r="E428"/>
      <c r="F428"/>
      <c r="G428"/>
    </row>
    <row r="429" spans="5:7" x14ac:dyDescent="0.3">
      <c r="E429"/>
      <c r="F429"/>
      <c r="G429"/>
    </row>
    <row r="430" spans="5:7" x14ac:dyDescent="0.3">
      <c r="E430"/>
      <c r="F430"/>
      <c r="G430"/>
    </row>
    <row r="431" spans="5:7" x14ac:dyDescent="0.3">
      <c r="E431"/>
      <c r="F431"/>
      <c r="G431"/>
    </row>
    <row r="432" spans="5:7" x14ac:dyDescent="0.3">
      <c r="E432"/>
      <c r="F432"/>
      <c r="G432"/>
    </row>
    <row r="433" spans="5:7" x14ac:dyDescent="0.3">
      <c r="E433"/>
      <c r="F433"/>
      <c r="G433"/>
    </row>
    <row r="434" spans="5:7" x14ac:dyDescent="0.3">
      <c r="E434"/>
      <c r="F434"/>
      <c r="G434"/>
    </row>
    <row r="435" spans="5:7" x14ac:dyDescent="0.3">
      <c r="E435"/>
      <c r="F435"/>
      <c r="G435"/>
    </row>
    <row r="436" spans="5:7" x14ac:dyDescent="0.3">
      <c r="E436"/>
      <c r="F436"/>
      <c r="G436"/>
    </row>
    <row r="437" spans="5:7" x14ac:dyDescent="0.3">
      <c r="E437"/>
      <c r="F437"/>
      <c r="G437"/>
    </row>
    <row r="438" spans="5:7" x14ac:dyDescent="0.3">
      <c r="E438"/>
      <c r="F438"/>
      <c r="G438"/>
    </row>
    <row r="439" spans="5:7" x14ac:dyDescent="0.3">
      <c r="E439"/>
      <c r="F439"/>
      <c r="G439"/>
    </row>
    <row r="440" spans="5:7" x14ac:dyDescent="0.3">
      <c r="E440"/>
      <c r="F440"/>
      <c r="G440"/>
    </row>
    <row r="441" spans="5:7" x14ac:dyDescent="0.3">
      <c r="E441"/>
      <c r="F441"/>
      <c r="G441"/>
    </row>
    <row r="442" spans="5:7" x14ac:dyDescent="0.3">
      <c r="E442"/>
      <c r="F442"/>
      <c r="G442"/>
    </row>
    <row r="443" spans="5:7" x14ac:dyDescent="0.3">
      <c r="E443"/>
      <c r="F443"/>
      <c r="G443"/>
    </row>
    <row r="444" spans="5:7" x14ac:dyDescent="0.3">
      <c r="E444"/>
      <c r="F444"/>
      <c r="G444"/>
    </row>
    <row r="445" spans="5:7" x14ac:dyDescent="0.3">
      <c r="E445"/>
      <c r="F445"/>
      <c r="G445"/>
    </row>
    <row r="446" spans="5:7" x14ac:dyDescent="0.3">
      <c r="E446"/>
      <c r="F446"/>
      <c r="G446"/>
    </row>
    <row r="447" spans="5:7" x14ac:dyDescent="0.3">
      <c r="E447"/>
      <c r="F447"/>
      <c r="G447"/>
    </row>
    <row r="448" spans="5:7" x14ac:dyDescent="0.3">
      <c r="E448"/>
      <c r="F448"/>
      <c r="G448"/>
    </row>
    <row r="449" spans="5:7" x14ac:dyDescent="0.3">
      <c r="E449"/>
      <c r="F449"/>
      <c r="G449"/>
    </row>
    <row r="450" spans="5:7" x14ac:dyDescent="0.3">
      <c r="E450"/>
      <c r="F450"/>
      <c r="G450"/>
    </row>
    <row r="451" spans="5:7" x14ac:dyDescent="0.3">
      <c r="E451"/>
      <c r="F451"/>
      <c r="G451"/>
    </row>
    <row r="452" spans="5:7" x14ac:dyDescent="0.3">
      <c r="E452"/>
      <c r="F452"/>
      <c r="G452"/>
    </row>
    <row r="453" spans="5:7" x14ac:dyDescent="0.3">
      <c r="E453"/>
      <c r="F453"/>
      <c r="G453"/>
    </row>
    <row r="454" spans="5:7" x14ac:dyDescent="0.3">
      <c r="E454"/>
      <c r="F454"/>
      <c r="G454"/>
    </row>
    <row r="455" spans="5:7" x14ac:dyDescent="0.3">
      <c r="E455"/>
      <c r="F455"/>
      <c r="G455"/>
    </row>
    <row r="456" spans="5:7" x14ac:dyDescent="0.3">
      <c r="E456"/>
      <c r="F456"/>
      <c r="G456"/>
    </row>
    <row r="457" spans="5:7" x14ac:dyDescent="0.3">
      <c r="E457"/>
      <c r="F457"/>
      <c r="G457"/>
    </row>
    <row r="458" spans="5:7" x14ac:dyDescent="0.3">
      <c r="E458"/>
      <c r="F458"/>
      <c r="G458"/>
    </row>
    <row r="459" spans="5:7" x14ac:dyDescent="0.3">
      <c r="E459"/>
      <c r="F459"/>
      <c r="G459"/>
    </row>
    <row r="460" spans="5:7" x14ac:dyDescent="0.3">
      <c r="E460"/>
      <c r="F460"/>
      <c r="G460"/>
    </row>
    <row r="461" spans="5:7" x14ac:dyDescent="0.3">
      <c r="E461"/>
      <c r="F461"/>
      <c r="G461"/>
    </row>
    <row r="462" spans="5:7" x14ac:dyDescent="0.3">
      <c r="E462"/>
      <c r="F462"/>
      <c r="G462"/>
    </row>
    <row r="463" spans="5:7" x14ac:dyDescent="0.3">
      <c r="E463"/>
      <c r="F463"/>
      <c r="G463"/>
    </row>
    <row r="464" spans="5:7" x14ac:dyDescent="0.3">
      <c r="E464"/>
      <c r="F464"/>
      <c r="G464"/>
    </row>
    <row r="465" spans="5:7" x14ac:dyDescent="0.3">
      <c r="E465"/>
      <c r="F465"/>
      <c r="G465"/>
    </row>
    <row r="466" spans="5:7" x14ac:dyDescent="0.3">
      <c r="E466"/>
      <c r="F466"/>
      <c r="G466"/>
    </row>
    <row r="467" spans="5:7" x14ac:dyDescent="0.3">
      <c r="E467"/>
      <c r="F467"/>
      <c r="G467"/>
    </row>
    <row r="468" spans="5:7" x14ac:dyDescent="0.3">
      <c r="E468"/>
      <c r="F468"/>
      <c r="G468"/>
    </row>
    <row r="469" spans="5:7" x14ac:dyDescent="0.3">
      <c r="E469"/>
      <c r="F469"/>
      <c r="G469"/>
    </row>
    <row r="470" spans="5:7" x14ac:dyDescent="0.3">
      <c r="E470"/>
      <c r="F470"/>
      <c r="G470"/>
    </row>
    <row r="471" spans="5:7" x14ac:dyDescent="0.3">
      <c r="E471"/>
      <c r="F471"/>
      <c r="G471"/>
    </row>
    <row r="472" spans="5:7" x14ac:dyDescent="0.3">
      <c r="E472"/>
      <c r="F472"/>
      <c r="G472"/>
    </row>
    <row r="473" spans="5:7" x14ac:dyDescent="0.3">
      <c r="E473"/>
      <c r="F473"/>
      <c r="G473"/>
    </row>
    <row r="474" spans="5:7" x14ac:dyDescent="0.3">
      <c r="E474"/>
      <c r="F474"/>
      <c r="G474"/>
    </row>
    <row r="475" spans="5:7" x14ac:dyDescent="0.3">
      <c r="E475"/>
      <c r="F475"/>
      <c r="G475"/>
    </row>
    <row r="476" spans="5:7" x14ac:dyDescent="0.3">
      <c r="E476"/>
      <c r="F476"/>
      <c r="G476"/>
    </row>
    <row r="477" spans="5:7" x14ac:dyDescent="0.3">
      <c r="E477"/>
      <c r="F477"/>
      <c r="G477"/>
    </row>
    <row r="478" spans="5:7" x14ac:dyDescent="0.3">
      <c r="E478"/>
      <c r="F478"/>
      <c r="G478"/>
    </row>
    <row r="479" spans="5:7" x14ac:dyDescent="0.3">
      <c r="E479"/>
      <c r="F479"/>
      <c r="G479"/>
    </row>
    <row r="480" spans="5:7" x14ac:dyDescent="0.3">
      <c r="E480"/>
      <c r="F480"/>
      <c r="G480"/>
    </row>
    <row r="481" spans="5:7" x14ac:dyDescent="0.3">
      <c r="E481"/>
      <c r="F481"/>
      <c r="G481"/>
    </row>
    <row r="482" spans="5:7" x14ac:dyDescent="0.3">
      <c r="E482"/>
      <c r="F482"/>
      <c r="G482"/>
    </row>
    <row r="483" spans="5:7" x14ac:dyDescent="0.3">
      <c r="E483"/>
      <c r="F483"/>
      <c r="G483"/>
    </row>
    <row r="484" spans="5:7" x14ac:dyDescent="0.3">
      <c r="E484"/>
      <c r="F484"/>
      <c r="G484"/>
    </row>
    <row r="485" spans="5:7" x14ac:dyDescent="0.3">
      <c r="E485"/>
      <c r="F485"/>
      <c r="G485"/>
    </row>
    <row r="486" spans="5:7" x14ac:dyDescent="0.3">
      <c r="E486"/>
      <c r="F486"/>
      <c r="G486"/>
    </row>
    <row r="487" spans="5:7" x14ac:dyDescent="0.3">
      <c r="E487"/>
      <c r="F487"/>
      <c r="G487"/>
    </row>
    <row r="488" spans="5:7" x14ac:dyDescent="0.3">
      <c r="E488"/>
      <c r="F488"/>
      <c r="G488"/>
    </row>
    <row r="489" spans="5:7" x14ac:dyDescent="0.3">
      <c r="E489"/>
      <c r="F489"/>
      <c r="G489"/>
    </row>
    <row r="490" spans="5:7" x14ac:dyDescent="0.3">
      <c r="E490"/>
      <c r="F490"/>
      <c r="G490"/>
    </row>
    <row r="491" spans="5:7" x14ac:dyDescent="0.3">
      <c r="E491"/>
      <c r="F491"/>
      <c r="G491"/>
    </row>
    <row r="492" spans="5:7" x14ac:dyDescent="0.3">
      <c r="E492"/>
      <c r="F492"/>
      <c r="G492"/>
    </row>
    <row r="493" spans="5:7" x14ac:dyDescent="0.3">
      <c r="E493"/>
      <c r="F493"/>
      <c r="G493"/>
    </row>
    <row r="494" spans="5:7" x14ac:dyDescent="0.3">
      <c r="E494"/>
      <c r="F494"/>
      <c r="G494"/>
    </row>
    <row r="495" spans="5:7" x14ac:dyDescent="0.3">
      <c r="E495"/>
      <c r="F495"/>
      <c r="G495"/>
    </row>
    <row r="496" spans="5:7" x14ac:dyDescent="0.3">
      <c r="E496"/>
      <c r="F496"/>
      <c r="G496"/>
    </row>
    <row r="497" spans="5:7" x14ac:dyDescent="0.3">
      <c r="E497"/>
      <c r="F497"/>
      <c r="G497"/>
    </row>
    <row r="498" spans="5:7" x14ac:dyDescent="0.3">
      <c r="E498"/>
      <c r="F498"/>
      <c r="G498"/>
    </row>
    <row r="499" spans="5:7" x14ac:dyDescent="0.3">
      <c r="E499"/>
      <c r="F499"/>
      <c r="G499"/>
    </row>
    <row r="500" spans="5:7" x14ac:dyDescent="0.3">
      <c r="E500"/>
      <c r="F500"/>
      <c r="G500"/>
    </row>
    <row r="501" spans="5:7" x14ac:dyDescent="0.3">
      <c r="E501"/>
      <c r="F501"/>
      <c r="G501"/>
    </row>
    <row r="502" spans="5:7" x14ac:dyDescent="0.3">
      <c r="E502"/>
      <c r="F502"/>
      <c r="G502"/>
    </row>
    <row r="503" spans="5:7" x14ac:dyDescent="0.3">
      <c r="E503"/>
      <c r="F503"/>
      <c r="G503"/>
    </row>
    <row r="504" spans="5:7" x14ac:dyDescent="0.3">
      <c r="E504"/>
      <c r="F504"/>
      <c r="G504"/>
    </row>
    <row r="505" spans="5:7" x14ac:dyDescent="0.3">
      <c r="E505"/>
      <c r="F505"/>
      <c r="G505"/>
    </row>
    <row r="506" spans="5:7" x14ac:dyDescent="0.3">
      <c r="E506"/>
      <c r="F506"/>
      <c r="G506"/>
    </row>
    <row r="507" spans="5:7" x14ac:dyDescent="0.3">
      <c r="E507"/>
      <c r="F507"/>
      <c r="G507"/>
    </row>
    <row r="508" spans="5:7" x14ac:dyDescent="0.3">
      <c r="E508"/>
      <c r="F508"/>
      <c r="G508"/>
    </row>
    <row r="509" spans="5:7" x14ac:dyDescent="0.3">
      <c r="E509"/>
      <c r="F509"/>
      <c r="G509"/>
    </row>
    <row r="510" spans="5:7" x14ac:dyDescent="0.3">
      <c r="E510"/>
      <c r="F510"/>
      <c r="G510"/>
    </row>
    <row r="511" spans="5:7" x14ac:dyDescent="0.3">
      <c r="E511"/>
      <c r="F511"/>
      <c r="G511"/>
    </row>
    <row r="512" spans="5:7" x14ac:dyDescent="0.3">
      <c r="E512"/>
      <c r="F512"/>
      <c r="G512"/>
    </row>
    <row r="513" spans="5:7" x14ac:dyDescent="0.3">
      <c r="E513"/>
      <c r="F513"/>
      <c r="G513"/>
    </row>
    <row r="514" spans="5:7" x14ac:dyDescent="0.3">
      <c r="E514"/>
      <c r="F514"/>
      <c r="G514"/>
    </row>
    <row r="515" spans="5:7" x14ac:dyDescent="0.3">
      <c r="E515"/>
      <c r="F515"/>
      <c r="G515"/>
    </row>
    <row r="516" spans="5:7" x14ac:dyDescent="0.3">
      <c r="E516"/>
      <c r="F516"/>
      <c r="G516"/>
    </row>
    <row r="517" spans="5:7" x14ac:dyDescent="0.3">
      <c r="E517"/>
      <c r="F517"/>
      <c r="G517"/>
    </row>
    <row r="518" spans="5:7" x14ac:dyDescent="0.3">
      <c r="E518"/>
      <c r="F518"/>
      <c r="G518"/>
    </row>
    <row r="519" spans="5:7" x14ac:dyDescent="0.3">
      <c r="E519"/>
      <c r="F519"/>
      <c r="G519"/>
    </row>
    <row r="520" spans="5:7" x14ac:dyDescent="0.3">
      <c r="E520"/>
      <c r="F520"/>
      <c r="G520"/>
    </row>
    <row r="521" spans="5:7" x14ac:dyDescent="0.3">
      <c r="E521"/>
      <c r="F521"/>
      <c r="G521"/>
    </row>
    <row r="522" spans="5:7" x14ac:dyDescent="0.3">
      <c r="E522"/>
      <c r="F522"/>
      <c r="G522"/>
    </row>
    <row r="523" spans="5:7" x14ac:dyDescent="0.3">
      <c r="E523"/>
      <c r="F523"/>
      <c r="G523"/>
    </row>
    <row r="524" spans="5:7" x14ac:dyDescent="0.3">
      <c r="E524"/>
      <c r="F524"/>
      <c r="G524"/>
    </row>
    <row r="525" spans="5:7" x14ac:dyDescent="0.3">
      <c r="E525"/>
      <c r="F525"/>
      <c r="G525"/>
    </row>
    <row r="526" spans="5:7" x14ac:dyDescent="0.3">
      <c r="E526"/>
      <c r="F526"/>
      <c r="G526"/>
    </row>
    <row r="527" spans="5:7" x14ac:dyDescent="0.3">
      <c r="E527"/>
      <c r="F527"/>
      <c r="G527"/>
    </row>
    <row r="528" spans="5:7" x14ac:dyDescent="0.3">
      <c r="E528"/>
      <c r="F528"/>
      <c r="G528"/>
    </row>
    <row r="529" spans="5:7" x14ac:dyDescent="0.3">
      <c r="E529"/>
      <c r="F529"/>
      <c r="G529"/>
    </row>
    <row r="530" spans="5:7" x14ac:dyDescent="0.3">
      <c r="E530"/>
      <c r="F530"/>
      <c r="G530"/>
    </row>
    <row r="531" spans="5:7" x14ac:dyDescent="0.3">
      <c r="E531"/>
      <c r="F531"/>
      <c r="G531"/>
    </row>
    <row r="532" spans="5:7" x14ac:dyDescent="0.3">
      <c r="E532"/>
      <c r="F532"/>
      <c r="G532"/>
    </row>
    <row r="533" spans="5:7" x14ac:dyDescent="0.3">
      <c r="E533"/>
      <c r="F533"/>
      <c r="G533"/>
    </row>
    <row r="534" spans="5:7" x14ac:dyDescent="0.3">
      <c r="E534"/>
      <c r="F534"/>
      <c r="G534"/>
    </row>
    <row r="535" spans="5:7" x14ac:dyDescent="0.3">
      <c r="E535"/>
      <c r="F535"/>
      <c r="G535"/>
    </row>
    <row r="536" spans="5:7" x14ac:dyDescent="0.3">
      <c r="E536"/>
      <c r="F536"/>
      <c r="G536"/>
    </row>
    <row r="537" spans="5:7" x14ac:dyDescent="0.3">
      <c r="E537"/>
      <c r="F537"/>
      <c r="G537"/>
    </row>
    <row r="538" spans="5:7" x14ac:dyDescent="0.3">
      <c r="E538"/>
      <c r="F538"/>
      <c r="G538"/>
    </row>
    <row r="539" spans="5:7" x14ac:dyDescent="0.3">
      <c r="E539"/>
      <c r="F539"/>
      <c r="G539"/>
    </row>
    <row r="540" spans="5:7" x14ac:dyDescent="0.3">
      <c r="E540"/>
      <c r="F540"/>
      <c r="G540"/>
    </row>
    <row r="541" spans="5:7" x14ac:dyDescent="0.3">
      <c r="E541"/>
      <c r="F541"/>
      <c r="G541"/>
    </row>
    <row r="542" spans="5:7" x14ac:dyDescent="0.3">
      <c r="E542"/>
      <c r="F542"/>
      <c r="G542"/>
    </row>
    <row r="543" spans="5:7" x14ac:dyDescent="0.3">
      <c r="E543"/>
      <c r="F543"/>
      <c r="G543"/>
    </row>
    <row r="544" spans="5:7" x14ac:dyDescent="0.3">
      <c r="E544"/>
      <c r="F544"/>
      <c r="G544"/>
    </row>
    <row r="545" spans="5:7" x14ac:dyDescent="0.3">
      <c r="E545"/>
      <c r="F545"/>
      <c r="G545"/>
    </row>
    <row r="546" spans="5:7" x14ac:dyDescent="0.3">
      <c r="E546"/>
      <c r="F546"/>
      <c r="G546"/>
    </row>
    <row r="547" spans="5:7" x14ac:dyDescent="0.3">
      <c r="E547"/>
      <c r="F547"/>
      <c r="G547"/>
    </row>
    <row r="548" spans="5:7" x14ac:dyDescent="0.3">
      <c r="E548"/>
      <c r="F548"/>
      <c r="G548"/>
    </row>
    <row r="549" spans="5:7" x14ac:dyDescent="0.3">
      <c r="E549"/>
      <c r="F549"/>
      <c r="G549"/>
    </row>
    <row r="550" spans="5:7" x14ac:dyDescent="0.3">
      <c r="E550"/>
      <c r="F550"/>
      <c r="G550"/>
    </row>
    <row r="551" spans="5:7" x14ac:dyDescent="0.3">
      <c r="E551"/>
      <c r="F551"/>
      <c r="G551"/>
    </row>
    <row r="552" spans="5:7" x14ac:dyDescent="0.3">
      <c r="E552"/>
      <c r="F552"/>
      <c r="G552"/>
    </row>
    <row r="553" spans="5:7" x14ac:dyDescent="0.3">
      <c r="E553"/>
      <c r="F553"/>
      <c r="G553"/>
    </row>
    <row r="554" spans="5:7" x14ac:dyDescent="0.3">
      <c r="E554"/>
      <c r="F554"/>
      <c r="G554"/>
    </row>
    <row r="555" spans="5:7" x14ac:dyDescent="0.3">
      <c r="E555"/>
      <c r="F555"/>
      <c r="G555"/>
    </row>
    <row r="556" spans="5:7" x14ac:dyDescent="0.3">
      <c r="E556"/>
      <c r="F556"/>
      <c r="G556"/>
    </row>
    <row r="557" spans="5:7" x14ac:dyDescent="0.3">
      <c r="E557"/>
      <c r="F557"/>
      <c r="G557"/>
    </row>
    <row r="558" spans="5:7" x14ac:dyDescent="0.3">
      <c r="E558"/>
      <c r="F558"/>
      <c r="G558"/>
    </row>
    <row r="559" spans="5:7" x14ac:dyDescent="0.3">
      <c r="E559"/>
      <c r="F559"/>
      <c r="G559"/>
    </row>
    <row r="560" spans="5:7" x14ac:dyDescent="0.3">
      <c r="E560"/>
      <c r="F560"/>
      <c r="G560"/>
    </row>
    <row r="561" spans="5:7" x14ac:dyDescent="0.3">
      <c r="E561"/>
      <c r="F561"/>
      <c r="G561"/>
    </row>
    <row r="562" spans="5:7" x14ac:dyDescent="0.3">
      <c r="E562"/>
      <c r="F562"/>
      <c r="G562"/>
    </row>
    <row r="563" spans="5:7" x14ac:dyDescent="0.3">
      <c r="E563"/>
      <c r="F563"/>
      <c r="G563"/>
    </row>
    <row r="564" spans="5:7" x14ac:dyDescent="0.3">
      <c r="E564"/>
      <c r="F564"/>
      <c r="G564"/>
    </row>
    <row r="565" spans="5:7" x14ac:dyDescent="0.3">
      <c r="E565"/>
      <c r="F565"/>
      <c r="G565"/>
    </row>
    <row r="566" spans="5:7" x14ac:dyDescent="0.3">
      <c r="E566"/>
      <c r="F566"/>
      <c r="G566"/>
    </row>
    <row r="567" spans="5:7" x14ac:dyDescent="0.3">
      <c r="E567"/>
      <c r="F567"/>
      <c r="G567"/>
    </row>
    <row r="568" spans="5:7" x14ac:dyDescent="0.3">
      <c r="E568"/>
      <c r="F568"/>
      <c r="G568"/>
    </row>
    <row r="569" spans="5:7" x14ac:dyDescent="0.3">
      <c r="E569"/>
      <c r="F569"/>
      <c r="G569"/>
    </row>
    <row r="570" spans="5:7" x14ac:dyDescent="0.3">
      <c r="E570"/>
      <c r="F570"/>
      <c r="G570"/>
    </row>
    <row r="571" spans="5:7" x14ac:dyDescent="0.3">
      <c r="E571"/>
      <c r="F571"/>
      <c r="G571"/>
    </row>
    <row r="572" spans="5:7" x14ac:dyDescent="0.3">
      <c r="E572"/>
      <c r="F572"/>
      <c r="G572"/>
    </row>
    <row r="573" spans="5:7" x14ac:dyDescent="0.3">
      <c r="E573"/>
      <c r="F573"/>
      <c r="G573"/>
    </row>
    <row r="574" spans="5:7" x14ac:dyDescent="0.3">
      <c r="E574"/>
      <c r="F574"/>
      <c r="G574"/>
    </row>
    <row r="575" spans="5:7" x14ac:dyDescent="0.3">
      <c r="E575"/>
      <c r="F575"/>
      <c r="G575"/>
    </row>
    <row r="576" spans="5:7" x14ac:dyDescent="0.3">
      <c r="E576"/>
      <c r="F576"/>
      <c r="G576"/>
    </row>
    <row r="577" spans="5:7" x14ac:dyDescent="0.3">
      <c r="E577"/>
      <c r="F577"/>
      <c r="G577"/>
    </row>
    <row r="578" spans="5:7" x14ac:dyDescent="0.3">
      <c r="E578"/>
      <c r="F578"/>
      <c r="G578"/>
    </row>
    <row r="579" spans="5:7" x14ac:dyDescent="0.3">
      <c r="E579"/>
      <c r="F579"/>
      <c r="G579"/>
    </row>
    <row r="580" spans="5:7" x14ac:dyDescent="0.3">
      <c r="E580"/>
      <c r="F580"/>
      <c r="G580"/>
    </row>
    <row r="581" spans="5:7" x14ac:dyDescent="0.3">
      <c r="E581"/>
      <c r="F581"/>
      <c r="G581"/>
    </row>
    <row r="582" spans="5:7" x14ac:dyDescent="0.3">
      <c r="E582"/>
      <c r="F582"/>
      <c r="G582"/>
    </row>
    <row r="583" spans="5:7" x14ac:dyDescent="0.3">
      <c r="E583"/>
      <c r="F583"/>
      <c r="G583"/>
    </row>
    <row r="584" spans="5:7" x14ac:dyDescent="0.3">
      <c r="E584"/>
      <c r="F584"/>
      <c r="G584"/>
    </row>
    <row r="585" spans="5:7" x14ac:dyDescent="0.3">
      <c r="E585"/>
      <c r="F585"/>
      <c r="G585"/>
    </row>
    <row r="586" spans="5:7" x14ac:dyDescent="0.3">
      <c r="E586"/>
      <c r="F586"/>
      <c r="G586"/>
    </row>
    <row r="587" spans="5:7" x14ac:dyDescent="0.3">
      <c r="E587"/>
      <c r="F587"/>
      <c r="G587"/>
    </row>
    <row r="588" spans="5:7" x14ac:dyDescent="0.3">
      <c r="E588"/>
      <c r="F588"/>
      <c r="G588"/>
    </row>
    <row r="589" spans="5:7" x14ac:dyDescent="0.3">
      <c r="E589"/>
      <c r="F589"/>
      <c r="G589"/>
    </row>
    <row r="590" spans="5:7" x14ac:dyDescent="0.3">
      <c r="E590"/>
      <c r="F590"/>
      <c r="G590"/>
    </row>
    <row r="591" spans="5:7" x14ac:dyDescent="0.3">
      <c r="E591"/>
      <c r="F591"/>
      <c r="G591"/>
    </row>
    <row r="592" spans="5:7" x14ac:dyDescent="0.3">
      <c r="E592"/>
      <c r="F592"/>
      <c r="G592"/>
    </row>
    <row r="593" spans="5:7" x14ac:dyDescent="0.3">
      <c r="E593"/>
      <c r="F593"/>
      <c r="G593"/>
    </row>
    <row r="594" spans="5:7" x14ac:dyDescent="0.3">
      <c r="E594"/>
      <c r="F594"/>
      <c r="G594"/>
    </row>
    <row r="595" spans="5:7" x14ac:dyDescent="0.3">
      <c r="E595"/>
      <c r="F595"/>
      <c r="G595"/>
    </row>
    <row r="596" spans="5:7" x14ac:dyDescent="0.3">
      <c r="E596"/>
      <c r="F596"/>
      <c r="G596"/>
    </row>
    <row r="597" spans="5:7" x14ac:dyDescent="0.3">
      <c r="E597"/>
      <c r="F597"/>
      <c r="G597"/>
    </row>
    <row r="598" spans="5:7" x14ac:dyDescent="0.3">
      <c r="E598"/>
      <c r="F598"/>
      <c r="G598"/>
    </row>
    <row r="599" spans="5:7" x14ac:dyDescent="0.3">
      <c r="E599"/>
      <c r="F599"/>
      <c r="G599"/>
    </row>
    <row r="600" spans="5:7" x14ac:dyDescent="0.3">
      <c r="E600"/>
      <c r="F600"/>
      <c r="G600"/>
    </row>
    <row r="601" spans="5:7" x14ac:dyDescent="0.3">
      <c r="E601"/>
      <c r="F601"/>
      <c r="G601"/>
    </row>
    <row r="602" spans="5:7" x14ac:dyDescent="0.3">
      <c r="E602"/>
      <c r="F602"/>
      <c r="G602"/>
    </row>
    <row r="603" spans="5:7" x14ac:dyDescent="0.3">
      <c r="E603"/>
      <c r="F603"/>
      <c r="G603"/>
    </row>
    <row r="604" spans="5:7" x14ac:dyDescent="0.3">
      <c r="E604"/>
      <c r="F604"/>
      <c r="G604"/>
    </row>
    <row r="605" spans="5:7" x14ac:dyDescent="0.3">
      <c r="E605"/>
      <c r="F605"/>
      <c r="G605"/>
    </row>
    <row r="606" spans="5:7" x14ac:dyDescent="0.3">
      <c r="E606"/>
      <c r="F606"/>
      <c r="G606"/>
    </row>
    <row r="607" spans="5:7" x14ac:dyDescent="0.3">
      <c r="E607"/>
      <c r="F607"/>
      <c r="G607"/>
    </row>
    <row r="608" spans="5:7" x14ac:dyDescent="0.3">
      <c r="E608"/>
      <c r="F608"/>
      <c r="G608"/>
    </row>
    <row r="609" spans="5:7" x14ac:dyDescent="0.3">
      <c r="E609"/>
      <c r="F609"/>
      <c r="G609"/>
    </row>
    <row r="610" spans="5:7" x14ac:dyDescent="0.3">
      <c r="E610"/>
      <c r="F610"/>
      <c r="G610"/>
    </row>
    <row r="611" spans="5:7" x14ac:dyDescent="0.3">
      <c r="E611"/>
      <c r="F611"/>
      <c r="G611"/>
    </row>
    <row r="612" spans="5:7" x14ac:dyDescent="0.3">
      <c r="E612"/>
      <c r="F612"/>
      <c r="G612"/>
    </row>
    <row r="613" spans="5:7" x14ac:dyDescent="0.3">
      <c r="E613"/>
      <c r="F613"/>
      <c r="G613"/>
    </row>
    <row r="614" spans="5:7" x14ac:dyDescent="0.3">
      <c r="E614"/>
      <c r="F614"/>
      <c r="G614"/>
    </row>
    <row r="615" spans="5:7" x14ac:dyDescent="0.3">
      <c r="E615"/>
      <c r="F615"/>
      <c r="G615"/>
    </row>
    <row r="616" spans="5:7" x14ac:dyDescent="0.3">
      <c r="E616"/>
      <c r="F616"/>
      <c r="G616"/>
    </row>
    <row r="617" spans="5:7" x14ac:dyDescent="0.3">
      <c r="E617"/>
      <c r="F617"/>
      <c r="G617"/>
    </row>
    <row r="618" spans="5:7" x14ac:dyDescent="0.3">
      <c r="E618"/>
      <c r="F618"/>
      <c r="G618"/>
    </row>
    <row r="619" spans="5:7" x14ac:dyDescent="0.3">
      <c r="E619"/>
      <c r="F619"/>
      <c r="G619"/>
    </row>
    <row r="620" spans="5:7" x14ac:dyDescent="0.3">
      <c r="E620"/>
      <c r="F620"/>
      <c r="G620"/>
    </row>
    <row r="621" spans="5:7" x14ac:dyDescent="0.3">
      <c r="E621"/>
      <c r="F621"/>
      <c r="G621"/>
    </row>
    <row r="622" spans="5:7" x14ac:dyDescent="0.3">
      <c r="E622"/>
      <c r="F622"/>
      <c r="G622"/>
    </row>
    <row r="623" spans="5:7" x14ac:dyDescent="0.3">
      <c r="E623"/>
      <c r="F623"/>
      <c r="G623"/>
    </row>
    <row r="624" spans="5:7" x14ac:dyDescent="0.3">
      <c r="E624"/>
      <c r="F624"/>
      <c r="G624"/>
    </row>
    <row r="625" spans="5:7" x14ac:dyDescent="0.3">
      <c r="E625"/>
      <c r="F625"/>
      <c r="G625"/>
    </row>
    <row r="626" spans="5:7" x14ac:dyDescent="0.3">
      <c r="E626"/>
      <c r="F626"/>
      <c r="G626"/>
    </row>
    <row r="627" spans="5:7" x14ac:dyDescent="0.3">
      <c r="E627"/>
      <c r="F627"/>
      <c r="G627"/>
    </row>
    <row r="628" spans="5:7" x14ac:dyDescent="0.3">
      <c r="E628"/>
      <c r="F628"/>
      <c r="G628"/>
    </row>
    <row r="629" spans="5:7" x14ac:dyDescent="0.3">
      <c r="E629"/>
      <c r="F629"/>
      <c r="G629"/>
    </row>
    <row r="630" spans="5:7" x14ac:dyDescent="0.3">
      <c r="E630"/>
      <c r="F630"/>
      <c r="G630"/>
    </row>
    <row r="631" spans="5:7" x14ac:dyDescent="0.3">
      <c r="E631"/>
      <c r="F631"/>
      <c r="G631"/>
    </row>
    <row r="632" spans="5:7" x14ac:dyDescent="0.3">
      <c r="E632"/>
      <c r="F632"/>
      <c r="G632"/>
    </row>
    <row r="633" spans="5:7" x14ac:dyDescent="0.3">
      <c r="E633"/>
      <c r="F633"/>
      <c r="G633"/>
    </row>
    <row r="634" spans="5:7" x14ac:dyDescent="0.3">
      <c r="E634"/>
      <c r="F634"/>
      <c r="G634"/>
    </row>
    <row r="635" spans="5:7" x14ac:dyDescent="0.3">
      <c r="E635"/>
      <c r="F635"/>
      <c r="G635"/>
    </row>
    <row r="636" spans="5:7" x14ac:dyDescent="0.3">
      <c r="E636"/>
      <c r="F636"/>
      <c r="G636"/>
    </row>
    <row r="637" spans="5:7" x14ac:dyDescent="0.3">
      <c r="E637"/>
      <c r="F637"/>
      <c r="G637"/>
    </row>
    <row r="638" spans="5:7" x14ac:dyDescent="0.3">
      <c r="E638"/>
      <c r="F638"/>
      <c r="G638"/>
    </row>
    <row r="639" spans="5:7" x14ac:dyDescent="0.3">
      <c r="E639"/>
      <c r="F639"/>
      <c r="G639"/>
    </row>
    <row r="640" spans="5:7" x14ac:dyDescent="0.3">
      <c r="E640"/>
      <c r="F640"/>
      <c r="G640"/>
    </row>
    <row r="641" spans="5:7" x14ac:dyDescent="0.3">
      <c r="E641"/>
      <c r="F641"/>
      <c r="G641"/>
    </row>
    <row r="642" spans="5:7" x14ac:dyDescent="0.3">
      <c r="E642"/>
      <c r="F642"/>
      <c r="G642"/>
    </row>
    <row r="643" spans="5:7" x14ac:dyDescent="0.3">
      <c r="E643"/>
      <c r="F643"/>
      <c r="G643"/>
    </row>
    <row r="644" spans="5:7" x14ac:dyDescent="0.3">
      <c r="E644"/>
      <c r="F644"/>
      <c r="G644"/>
    </row>
    <row r="645" spans="5:7" x14ac:dyDescent="0.3">
      <c r="E645"/>
      <c r="F645"/>
      <c r="G645"/>
    </row>
    <row r="646" spans="5:7" x14ac:dyDescent="0.3">
      <c r="E646"/>
      <c r="F646"/>
      <c r="G646"/>
    </row>
    <row r="647" spans="5:7" x14ac:dyDescent="0.3">
      <c r="E647"/>
      <c r="F647"/>
      <c r="G647"/>
    </row>
    <row r="648" spans="5:7" x14ac:dyDescent="0.3">
      <c r="E648"/>
      <c r="F648"/>
      <c r="G648"/>
    </row>
    <row r="649" spans="5:7" x14ac:dyDescent="0.3">
      <c r="E649"/>
      <c r="F649"/>
      <c r="G649"/>
    </row>
    <row r="650" spans="5:7" x14ac:dyDescent="0.3">
      <c r="E650"/>
      <c r="F650"/>
      <c r="G650"/>
    </row>
    <row r="651" spans="5:7" x14ac:dyDescent="0.3">
      <c r="E651"/>
      <c r="F651"/>
      <c r="G651"/>
    </row>
    <row r="652" spans="5:7" x14ac:dyDescent="0.3">
      <c r="E652"/>
      <c r="F652"/>
      <c r="G652"/>
    </row>
    <row r="653" spans="5:7" x14ac:dyDescent="0.3">
      <c r="E653"/>
      <c r="F653"/>
      <c r="G653"/>
    </row>
    <row r="654" spans="5:7" x14ac:dyDescent="0.3">
      <c r="E654"/>
      <c r="F654"/>
      <c r="G654"/>
    </row>
    <row r="655" spans="5:7" x14ac:dyDescent="0.3">
      <c r="E655"/>
      <c r="F655"/>
      <c r="G655"/>
    </row>
    <row r="656" spans="5:7" x14ac:dyDescent="0.3">
      <c r="E656"/>
      <c r="F656"/>
      <c r="G656"/>
    </row>
    <row r="657" spans="5:7" x14ac:dyDescent="0.3">
      <c r="E657"/>
      <c r="F657"/>
      <c r="G657"/>
    </row>
    <row r="658" spans="5:7" x14ac:dyDescent="0.3">
      <c r="E658"/>
      <c r="F658"/>
      <c r="G658"/>
    </row>
    <row r="659" spans="5:7" x14ac:dyDescent="0.3">
      <c r="E659"/>
      <c r="F659"/>
      <c r="G659"/>
    </row>
    <row r="660" spans="5:7" x14ac:dyDescent="0.3">
      <c r="E660"/>
      <c r="F660"/>
      <c r="G660"/>
    </row>
    <row r="661" spans="5:7" x14ac:dyDescent="0.3">
      <c r="E661"/>
      <c r="F661"/>
      <c r="G661"/>
    </row>
    <row r="662" spans="5:7" x14ac:dyDescent="0.3">
      <c r="E662"/>
      <c r="F662"/>
      <c r="G662"/>
    </row>
    <row r="663" spans="5:7" x14ac:dyDescent="0.3">
      <c r="E663"/>
      <c r="F663"/>
      <c r="G663"/>
    </row>
    <row r="664" spans="5:7" x14ac:dyDescent="0.3">
      <c r="E664"/>
      <c r="F664"/>
      <c r="G664"/>
    </row>
    <row r="665" spans="5:7" x14ac:dyDescent="0.3">
      <c r="E665"/>
      <c r="F665"/>
      <c r="G665"/>
    </row>
    <row r="666" spans="5:7" x14ac:dyDescent="0.3">
      <c r="E666"/>
      <c r="F666"/>
      <c r="G666"/>
    </row>
    <row r="667" spans="5:7" x14ac:dyDescent="0.3">
      <c r="E667"/>
      <c r="F667"/>
      <c r="G667"/>
    </row>
    <row r="668" spans="5:7" x14ac:dyDescent="0.3">
      <c r="E668"/>
      <c r="F668"/>
      <c r="G668"/>
    </row>
    <row r="669" spans="5:7" x14ac:dyDescent="0.3">
      <c r="E669"/>
      <c r="F669"/>
      <c r="G669"/>
    </row>
    <row r="670" spans="5:7" x14ac:dyDescent="0.3">
      <c r="E670"/>
      <c r="F670"/>
      <c r="G670"/>
    </row>
    <row r="671" spans="5:7" x14ac:dyDescent="0.3">
      <c r="E671"/>
      <c r="F671"/>
      <c r="G671"/>
    </row>
    <row r="672" spans="5:7" x14ac:dyDescent="0.3">
      <c r="E672"/>
      <c r="F672"/>
      <c r="G672"/>
    </row>
    <row r="673" spans="5:7" x14ac:dyDescent="0.3">
      <c r="E673"/>
      <c r="F673"/>
      <c r="G673"/>
    </row>
    <row r="674" spans="5:7" x14ac:dyDescent="0.3">
      <c r="E674"/>
      <c r="F674"/>
      <c r="G674"/>
    </row>
    <row r="675" spans="5:7" x14ac:dyDescent="0.3">
      <c r="E675"/>
      <c r="F675"/>
      <c r="G675"/>
    </row>
    <row r="676" spans="5:7" x14ac:dyDescent="0.3">
      <c r="E676"/>
      <c r="F676"/>
      <c r="G676"/>
    </row>
    <row r="677" spans="5:7" x14ac:dyDescent="0.3">
      <c r="E677"/>
      <c r="F677"/>
      <c r="G677"/>
    </row>
    <row r="678" spans="5:7" x14ac:dyDescent="0.3">
      <c r="E678"/>
      <c r="F678"/>
      <c r="G678"/>
    </row>
    <row r="679" spans="5:7" x14ac:dyDescent="0.3">
      <c r="E679"/>
      <c r="F679"/>
      <c r="G679"/>
    </row>
    <row r="680" spans="5:7" x14ac:dyDescent="0.3">
      <c r="E680"/>
      <c r="F680"/>
      <c r="G680"/>
    </row>
    <row r="681" spans="5:7" x14ac:dyDescent="0.3">
      <c r="E681"/>
      <c r="F681"/>
      <c r="G681"/>
    </row>
    <row r="682" spans="5:7" x14ac:dyDescent="0.3">
      <c r="E682"/>
      <c r="F682"/>
      <c r="G682"/>
    </row>
    <row r="683" spans="5:7" x14ac:dyDescent="0.3">
      <c r="E683"/>
      <c r="F683"/>
      <c r="G683"/>
    </row>
    <row r="684" spans="5:7" x14ac:dyDescent="0.3">
      <c r="E684"/>
      <c r="F684"/>
      <c r="G684"/>
    </row>
    <row r="685" spans="5:7" x14ac:dyDescent="0.3">
      <c r="E685"/>
      <c r="F685"/>
      <c r="G685"/>
    </row>
    <row r="686" spans="5:7" x14ac:dyDescent="0.3">
      <c r="E686"/>
      <c r="F686"/>
      <c r="G686"/>
    </row>
    <row r="687" spans="5:7" x14ac:dyDescent="0.3">
      <c r="E687"/>
      <c r="F687"/>
      <c r="G687"/>
    </row>
    <row r="688" spans="5:7" x14ac:dyDescent="0.3">
      <c r="E688"/>
      <c r="F688"/>
      <c r="G688"/>
    </row>
    <row r="689" spans="5:7" x14ac:dyDescent="0.3">
      <c r="E689"/>
      <c r="F689"/>
      <c r="G689"/>
    </row>
    <row r="690" spans="5:7" x14ac:dyDescent="0.3">
      <c r="E690"/>
      <c r="F690"/>
      <c r="G690"/>
    </row>
    <row r="691" spans="5:7" x14ac:dyDescent="0.3">
      <c r="E691"/>
      <c r="F691"/>
      <c r="G691"/>
    </row>
    <row r="692" spans="5:7" x14ac:dyDescent="0.3">
      <c r="E692"/>
      <c r="F692"/>
      <c r="G692"/>
    </row>
    <row r="693" spans="5:7" x14ac:dyDescent="0.3">
      <c r="E693"/>
      <c r="F693"/>
      <c r="G693"/>
    </row>
    <row r="694" spans="5:7" x14ac:dyDescent="0.3">
      <c r="E694"/>
      <c r="F694"/>
      <c r="G694"/>
    </row>
    <row r="695" spans="5:7" x14ac:dyDescent="0.3">
      <c r="E695"/>
      <c r="F695"/>
      <c r="G695"/>
    </row>
    <row r="696" spans="5:7" x14ac:dyDescent="0.3">
      <c r="E696"/>
      <c r="F696"/>
      <c r="G696"/>
    </row>
    <row r="697" spans="5:7" x14ac:dyDescent="0.3">
      <c r="E697"/>
      <c r="F697"/>
      <c r="G697"/>
    </row>
    <row r="698" spans="5:7" x14ac:dyDescent="0.3">
      <c r="E698"/>
      <c r="F698"/>
      <c r="G698"/>
    </row>
    <row r="699" spans="5:7" x14ac:dyDescent="0.3">
      <c r="E699"/>
      <c r="F699"/>
      <c r="G699"/>
    </row>
    <row r="700" spans="5:7" x14ac:dyDescent="0.3">
      <c r="E700"/>
      <c r="F700"/>
      <c r="G700"/>
    </row>
    <row r="701" spans="5:7" x14ac:dyDescent="0.3">
      <c r="E701"/>
      <c r="F701"/>
      <c r="G701"/>
    </row>
    <row r="702" spans="5:7" x14ac:dyDescent="0.3">
      <c r="E702"/>
      <c r="F702"/>
      <c r="G702"/>
    </row>
    <row r="703" spans="5:7" x14ac:dyDescent="0.3">
      <c r="E703"/>
      <c r="F703"/>
      <c r="G703"/>
    </row>
    <row r="704" spans="5:7" x14ac:dyDescent="0.3">
      <c r="E704"/>
      <c r="F704"/>
      <c r="G704"/>
    </row>
    <row r="705" spans="5:7" x14ac:dyDescent="0.3">
      <c r="E705"/>
      <c r="F705"/>
      <c r="G705"/>
    </row>
    <row r="706" spans="5:7" x14ac:dyDescent="0.3">
      <c r="E706"/>
      <c r="F706"/>
      <c r="G706"/>
    </row>
    <row r="707" spans="5:7" x14ac:dyDescent="0.3">
      <c r="E707"/>
      <c r="F707"/>
      <c r="G707"/>
    </row>
    <row r="708" spans="5:7" x14ac:dyDescent="0.3">
      <c r="E708"/>
      <c r="F708"/>
      <c r="G708"/>
    </row>
    <row r="709" spans="5:7" x14ac:dyDescent="0.3">
      <c r="E709"/>
      <c r="F709"/>
      <c r="G709"/>
    </row>
    <row r="710" spans="5:7" x14ac:dyDescent="0.3">
      <c r="E710"/>
      <c r="F710"/>
      <c r="G710"/>
    </row>
    <row r="711" spans="5:7" x14ac:dyDescent="0.3">
      <c r="E711"/>
      <c r="F711"/>
      <c r="G711"/>
    </row>
    <row r="712" spans="5:7" x14ac:dyDescent="0.3">
      <c r="E712"/>
      <c r="F712"/>
      <c r="G712"/>
    </row>
    <row r="713" spans="5:7" x14ac:dyDescent="0.3">
      <c r="E713"/>
      <c r="F713"/>
      <c r="G713"/>
    </row>
    <row r="714" spans="5:7" x14ac:dyDescent="0.3">
      <c r="E714"/>
      <c r="F714"/>
      <c r="G714"/>
    </row>
    <row r="715" spans="5:7" x14ac:dyDescent="0.3">
      <c r="E715"/>
      <c r="F715"/>
      <c r="G715"/>
    </row>
    <row r="716" spans="5:7" x14ac:dyDescent="0.3">
      <c r="F716"/>
      <c r="G716"/>
    </row>
    <row r="717" spans="5:7" x14ac:dyDescent="0.3">
      <c r="F717"/>
      <c r="G717"/>
    </row>
    <row r="718" spans="5:7" x14ac:dyDescent="0.3">
      <c r="F718"/>
      <c r="G718"/>
    </row>
    <row r="719" spans="5:7" x14ac:dyDescent="0.3">
      <c r="F719"/>
      <c r="G719"/>
    </row>
    <row r="720" spans="5:7" x14ac:dyDescent="0.3">
      <c r="F720"/>
      <c r="G720"/>
    </row>
    <row r="721" spans="6:7" x14ac:dyDescent="0.3">
      <c r="F721"/>
      <c r="G721"/>
    </row>
    <row r="722" spans="6:7" x14ac:dyDescent="0.3">
      <c r="F722"/>
      <c r="G722"/>
    </row>
    <row r="723" spans="6:7" x14ac:dyDescent="0.3">
      <c r="F723"/>
      <c r="G723"/>
    </row>
    <row r="724" spans="6:7" x14ac:dyDescent="0.3">
      <c r="F724"/>
      <c r="G724"/>
    </row>
    <row r="725" spans="6:7" x14ac:dyDescent="0.3">
      <c r="F725"/>
      <c r="G725"/>
    </row>
    <row r="726" spans="6:7" x14ac:dyDescent="0.3">
      <c r="F726"/>
      <c r="G726"/>
    </row>
    <row r="727" spans="6:7" x14ac:dyDescent="0.3">
      <c r="F727"/>
      <c r="G727"/>
    </row>
    <row r="728" spans="6:7" x14ac:dyDescent="0.3">
      <c r="F728"/>
      <c r="G728"/>
    </row>
    <row r="729" spans="6:7" x14ac:dyDescent="0.3">
      <c r="F729"/>
      <c r="G729"/>
    </row>
    <row r="730" spans="6:7" x14ac:dyDescent="0.3">
      <c r="F730"/>
      <c r="G730"/>
    </row>
    <row r="731" spans="6:7" x14ac:dyDescent="0.3">
      <c r="F731"/>
      <c r="G731"/>
    </row>
    <row r="732" spans="6:7" x14ac:dyDescent="0.3">
      <c r="F732"/>
      <c r="G732"/>
    </row>
    <row r="733" spans="6:7" x14ac:dyDescent="0.3">
      <c r="F733"/>
      <c r="G733"/>
    </row>
    <row r="734" spans="6:7" x14ac:dyDescent="0.3">
      <c r="F734"/>
      <c r="G734"/>
    </row>
    <row r="735" spans="6:7" x14ac:dyDescent="0.3">
      <c r="F735"/>
      <c r="G735"/>
    </row>
    <row r="736" spans="6:7" x14ac:dyDescent="0.3">
      <c r="F736"/>
      <c r="G736"/>
    </row>
    <row r="737" spans="6:7" x14ac:dyDescent="0.3">
      <c r="F737"/>
      <c r="G737"/>
    </row>
    <row r="738" spans="6:7" x14ac:dyDescent="0.3">
      <c r="F738"/>
      <c r="G738"/>
    </row>
    <row r="739" spans="6:7" x14ac:dyDescent="0.3">
      <c r="F739"/>
      <c r="G739"/>
    </row>
    <row r="740" spans="6:7" x14ac:dyDescent="0.3">
      <c r="F740"/>
      <c r="G740"/>
    </row>
    <row r="741" spans="6:7" x14ac:dyDescent="0.3">
      <c r="F741"/>
      <c r="G741"/>
    </row>
    <row r="742" spans="6:7" x14ac:dyDescent="0.3">
      <c r="F742"/>
      <c r="G742"/>
    </row>
    <row r="743" spans="6:7" x14ac:dyDescent="0.3">
      <c r="F743"/>
      <c r="G743"/>
    </row>
    <row r="744" spans="6:7" x14ac:dyDescent="0.3">
      <c r="F744"/>
      <c r="G744"/>
    </row>
    <row r="745" spans="6:7" x14ac:dyDescent="0.3">
      <c r="F745"/>
      <c r="G745"/>
    </row>
    <row r="746" spans="6:7" x14ac:dyDescent="0.3">
      <c r="F746"/>
      <c r="G746"/>
    </row>
    <row r="747" spans="6:7" x14ac:dyDescent="0.3">
      <c r="F747"/>
      <c r="G747"/>
    </row>
    <row r="748" spans="6:7" x14ac:dyDescent="0.3">
      <c r="F748"/>
      <c r="G748"/>
    </row>
    <row r="749" spans="6:7" x14ac:dyDescent="0.3">
      <c r="F749"/>
      <c r="G749"/>
    </row>
    <row r="750" spans="6:7" x14ac:dyDescent="0.3">
      <c r="F750"/>
      <c r="G750"/>
    </row>
    <row r="751" spans="6:7" x14ac:dyDescent="0.3">
      <c r="F751"/>
      <c r="G751"/>
    </row>
    <row r="752" spans="6:7" x14ac:dyDescent="0.3">
      <c r="F752"/>
      <c r="G752"/>
    </row>
    <row r="753" spans="6:7" x14ac:dyDescent="0.3">
      <c r="F753"/>
      <c r="G753"/>
    </row>
    <row r="754" spans="6:7" x14ac:dyDescent="0.3">
      <c r="F754"/>
      <c r="G754"/>
    </row>
    <row r="755" spans="6:7" x14ac:dyDescent="0.3">
      <c r="F755"/>
      <c r="G755"/>
    </row>
    <row r="756" spans="6:7" x14ac:dyDescent="0.3">
      <c r="F756"/>
      <c r="G756"/>
    </row>
    <row r="757" spans="6:7" x14ac:dyDescent="0.3">
      <c r="F757"/>
      <c r="G757"/>
    </row>
    <row r="758" spans="6:7" x14ac:dyDescent="0.3">
      <c r="F758"/>
      <c r="G758"/>
    </row>
    <row r="759" spans="6:7" x14ac:dyDescent="0.3">
      <c r="F759"/>
      <c r="G759"/>
    </row>
    <row r="760" spans="6:7" x14ac:dyDescent="0.3">
      <c r="F760"/>
      <c r="G760"/>
    </row>
    <row r="761" spans="6:7" x14ac:dyDescent="0.3">
      <c r="F761"/>
      <c r="G761"/>
    </row>
    <row r="762" spans="6:7" x14ac:dyDescent="0.3">
      <c r="F762"/>
      <c r="G762"/>
    </row>
    <row r="763" spans="6:7" x14ac:dyDescent="0.3">
      <c r="F763"/>
      <c r="G763"/>
    </row>
    <row r="764" spans="6:7" x14ac:dyDescent="0.3">
      <c r="F764"/>
      <c r="G764"/>
    </row>
    <row r="765" spans="6:7" x14ac:dyDescent="0.3">
      <c r="F765"/>
      <c r="G765"/>
    </row>
    <row r="766" spans="6:7" x14ac:dyDescent="0.3">
      <c r="F766"/>
      <c r="G766"/>
    </row>
    <row r="767" spans="6:7" x14ac:dyDescent="0.3">
      <c r="F767"/>
      <c r="G767"/>
    </row>
    <row r="768" spans="6:7" x14ac:dyDescent="0.3">
      <c r="F768"/>
      <c r="G768"/>
    </row>
    <row r="769" spans="6:7" x14ac:dyDescent="0.3">
      <c r="F769"/>
      <c r="G769"/>
    </row>
    <row r="770" spans="6:7" x14ac:dyDescent="0.3">
      <c r="F770"/>
      <c r="G770"/>
    </row>
    <row r="771" spans="6:7" x14ac:dyDescent="0.3">
      <c r="F771"/>
      <c r="G771"/>
    </row>
    <row r="772" spans="6:7" x14ac:dyDescent="0.3">
      <c r="F772"/>
      <c r="G772"/>
    </row>
    <row r="773" spans="6:7" x14ac:dyDescent="0.3">
      <c r="F773"/>
      <c r="G773"/>
    </row>
    <row r="774" spans="6:7" x14ac:dyDescent="0.3">
      <c r="F774"/>
      <c r="G774"/>
    </row>
    <row r="775" spans="6:7" x14ac:dyDescent="0.3">
      <c r="F775"/>
      <c r="G775"/>
    </row>
    <row r="776" spans="6:7" x14ac:dyDescent="0.3">
      <c r="F776"/>
      <c r="G776"/>
    </row>
    <row r="777" spans="6:7" x14ac:dyDescent="0.3">
      <c r="F777"/>
      <c r="G777"/>
    </row>
    <row r="778" spans="6:7" x14ac:dyDescent="0.3">
      <c r="F778"/>
      <c r="G778"/>
    </row>
    <row r="779" spans="6:7" x14ac:dyDescent="0.3">
      <c r="F779"/>
      <c r="G779"/>
    </row>
    <row r="780" spans="6:7" x14ac:dyDescent="0.3">
      <c r="F780"/>
      <c r="G780"/>
    </row>
    <row r="781" spans="6:7" x14ac:dyDescent="0.3">
      <c r="F781"/>
      <c r="G781"/>
    </row>
    <row r="782" spans="6:7" x14ac:dyDescent="0.3">
      <c r="F782"/>
      <c r="G782"/>
    </row>
    <row r="783" spans="6:7" x14ac:dyDescent="0.3">
      <c r="F783"/>
      <c r="G783"/>
    </row>
    <row r="784" spans="6:7" x14ac:dyDescent="0.3">
      <c r="F784"/>
      <c r="G784"/>
    </row>
    <row r="785" spans="6:7" x14ac:dyDescent="0.3">
      <c r="F785"/>
      <c r="G785"/>
    </row>
    <row r="786" spans="6:7" x14ac:dyDescent="0.3">
      <c r="F786"/>
      <c r="G786"/>
    </row>
    <row r="787" spans="6:7" x14ac:dyDescent="0.3">
      <c r="F787"/>
      <c r="G787"/>
    </row>
    <row r="788" spans="6:7" x14ac:dyDescent="0.3">
      <c r="F788"/>
      <c r="G788"/>
    </row>
    <row r="789" spans="6:7" x14ac:dyDescent="0.3">
      <c r="F789"/>
      <c r="G789"/>
    </row>
    <row r="790" spans="6:7" x14ac:dyDescent="0.3">
      <c r="F790"/>
      <c r="G790"/>
    </row>
    <row r="791" spans="6:7" x14ac:dyDescent="0.3">
      <c r="F791"/>
      <c r="G791"/>
    </row>
    <row r="792" spans="6:7" x14ac:dyDescent="0.3">
      <c r="F792"/>
      <c r="G792"/>
    </row>
    <row r="793" spans="6:7" x14ac:dyDescent="0.3">
      <c r="F793"/>
      <c r="G793"/>
    </row>
    <row r="794" spans="6:7" x14ac:dyDescent="0.3">
      <c r="F794"/>
      <c r="G794"/>
    </row>
    <row r="795" spans="6:7" x14ac:dyDescent="0.3">
      <c r="F795"/>
      <c r="G795"/>
    </row>
    <row r="796" spans="6:7" x14ac:dyDescent="0.3">
      <c r="F796"/>
      <c r="G796"/>
    </row>
    <row r="797" spans="6:7" x14ac:dyDescent="0.3">
      <c r="F797"/>
      <c r="G797"/>
    </row>
    <row r="798" spans="6:7" x14ac:dyDescent="0.3">
      <c r="F798"/>
      <c r="G798"/>
    </row>
    <row r="799" spans="6:7" x14ac:dyDescent="0.3">
      <c r="F799"/>
      <c r="G799"/>
    </row>
    <row r="800" spans="6:7" x14ac:dyDescent="0.3">
      <c r="F800"/>
      <c r="G800"/>
    </row>
    <row r="801" spans="6:7" x14ac:dyDescent="0.3">
      <c r="F801"/>
      <c r="G801"/>
    </row>
    <row r="802" spans="6:7" x14ac:dyDescent="0.3">
      <c r="F802"/>
      <c r="G802"/>
    </row>
    <row r="803" spans="6:7" x14ac:dyDescent="0.3">
      <c r="F803"/>
      <c r="G803"/>
    </row>
    <row r="804" spans="6:7" x14ac:dyDescent="0.3">
      <c r="F804"/>
      <c r="G804"/>
    </row>
    <row r="805" spans="6:7" x14ac:dyDescent="0.3">
      <c r="F805"/>
      <c r="G805"/>
    </row>
    <row r="806" spans="6:7" x14ac:dyDescent="0.3">
      <c r="F806"/>
      <c r="G806"/>
    </row>
    <row r="807" spans="6:7" x14ac:dyDescent="0.3">
      <c r="F807"/>
      <c r="G807"/>
    </row>
    <row r="808" spans="6:7" x14ac:dyDescent="0.3">
      <c r="F808"/>
      <c r="G808"/>
    </row>
    <row r="809" spans="6:7" x14ac:dyDescent="0.3">
      <c r="F809"/>
      <c r="G809"/>
    </row>
    <row r="810" spans="6:7" x14ac:dyDescent="0.3">
      <c r="F810"/>
      <c r="G810"/>
    </row>
    <row r="811" spans="6:7" x14ac:dyDescent="0.3">
      <c r="F811"/>
      <c r="G811"/>
    </row>
    <row r="812" spans="6:7" x14ac:dyDescent="0.3">
      <c r="F812"/>
      <c r="G812"/>
    </row>
    <row r="813" spans="6:7" x14ac:dyDescent="0.3">
      <c r="F813"/>
      <c r="G813"/>
    </row>
    <row r="814" spans="6:7" x14ac:dyDescent="0.3">
      <c r="F814"/>
      <c r="G814"/>
    </row>
    <row r="815" spans="6:7" x14ac:dyDescent="0.3">
      <c r="F815"/>
      <c r="G815"/>
    </row>
    <row r="816" spans="6:7" x14ac:dyDescent="0.3">
      <c r="F816"/>
      <c r="G816"/>
    </row>
    <row r="817" spans="6:7" x14ac:dyDescent="0.3">
      <c r="F817"/>
      <c r="G817"/>
    </row>
    <row r="818" spans="6:7" x14ac:dyDescent="0.3">
      <c r="F818"/>
      <c r="G818"/>
    </row>
    <row r="819" spans="6:7" x14ac:dyDescent="0.3">
      <c r="F819"/>
      <c r="G819"/>
    </row>
    <row r="820" spans="6:7" x14ac:dyDescent="0.3">
      <c r="F820"/>
      <c r="G820"/>
    </row>
    <row r="821" spans="6:7" x14ac:dyDescent="0.3">
      <c r="F821"/>
      <c r="G821"/>
    </row>
    <row r="822" spans="6:7" x14ac:dyDescent="0.3">
      <c r="F822"/>
      <c r="G822"/>
    </row>
    <row r="823" spans="6:7" x14ac:dyDescent="0.3">
      <c r="F823"/>
      <c r="G823"/>
    </row>
    <row r="824" spans="6:7" x14ac:dyDescent="0.3">
      <c r="F824"/>
      <c r="G824"/>
    </row>
    <row r="825" spans="6:7" x14ac:dyDescent="0.3">
      <c r="F825"/>
      <c r="G825"/>
    </row>
    <row r="826" spans="6:7" x14ac:dyDescent="0.3">
      <c r="F826"/>
      <c r="G826"/>
    </row>
    <row r="827" spans="6:7" x14ac:dyDescent="0.3">
      <c r="F827"/>
      <c r="G827"/>
    </row>
    <row r="828" spans="6:7" x14ac:dyDescent="0.3">
      <c r="F828"/>
      <c r="G828"/>
    </row>
    <row r="829" spans="6:7" x14ac:dyDescent="0.3">
      <c r="F829"/>
      <c r="G829"/>
    </row>
    <row r="830" spans="6:7" x14ac:dyDescent="0.3">
      <c r="F830"/>
      <c r="G830"/>
    </row>
    <row r="831" spans="6:7" x14ac:dyDescent="0.3">
      <c r="F831"/>
      <c r="G831"/>
    </row>
    <row r="832" spans="6:7" x14ac:dyDescent="0.3">
      <c r="F832"/>
      <c r="G832"/>
    </row>
    <row r="833" spans="6:7" x14ac:dyDescent="0.3">
      <c r="F833"/>
      <c r="G833"/>
    </row>
    <row r="834" spans="6:7" x14ac:dyDescent="0.3">
      <c r="F834"/>
      <c r="G834"/>
    </row>
    <row r="835" spans="6:7" x14ac:dyDescent="0.3">
      <c r="F835"/>
      <c r="G835"/>
    </row>
    <row r="836" spans="6:7" x14ac:dyDescent="0.3">
      <c r="F836"/>
      <c r="G836"/>
    </row>
    <row r="837" spans="6:7" x14ac:dyDescent="0.3">
      <c r="F837"/>
      <c r="G837"/>
    </row>
    <row r="838" spans="6:7" x14ac:dyDescent="0.3">
      <c r="F838"/>
      <c r="G838"/>
    </row>
    <row r="839" spans="6:7" x14ac:dyDescent="0.3">
      <c r="F839"/>
      <c r="G839"/>
    </row>
    <row r="840" spans="6:7" x14ac:dyDescent="0.3">
      <c r="F840"/>
      <c r="G840"/>
    </row>
    <row r="841" spans="6:7" x14ac:dyDescent="0.3">
      <c r="F841"/>
      <c r="G841"/>
    </row>
    <row r="842" spans="6:7" x14ac:dyDescent="0.3">
      <c r="F842"/>
      <c r="G842"/>
    </row>
    <row r="843" spans="6:7" x14ac:dyDescent="0.3">
      <c r="F843"/>
      <c r="G843"/>
    </row>
    <row r="844" spans="6:7" x14ac:dyDescent="0.3">
      <c r="F844"/>
      <c r="G844"/>
    </row>
    <row r="845" spans="6:7" x14ac:dyDescent="0.3">
      <c r="F845"/>
      <c r="G845"/>
    </row>
    <row r="846" spans="6:7" x14ac:dyDescent="0.3">
      <c r="F846"/>
      <c r="G846"/>
    </row>
    <row r="847" spans="6:7" x14ac:dyDescent="0.3">
      <c r="F847"/>
      <c r="G847"/>
    </row>
    <row r="848" spans="6:7" x14ac:dyDescent="0.3">
      <c r="F848"/>
      <c r="G848"/>
    </row>
    <row r="849" spans="6:7" x14ac:dyDescent="0.3">
      <c r="F849"/>
      <c r="G849"/>
    </row>
    <row r="850" spans="6:7" x14ac:dyDescent="0.3">
      <c r="F850"/>
      <c r="G850"/>
    </row>
    <row r="851" spans="6:7" x14ac:dyDescent="0.3">
      <c r="F851"/>
      <c r="G851"/>
    </row>
    <row r="852" spans="6:7" x14ac:dyDescent="0.3">
      <c r="F852"/>
      <c r="G852"/>
    </row>
    <row r="853" spans="6:7" x14ac:dyDescent="0.3">
      <c r="F853"/>
      <c r="G853"/>
    </row>
    <row r="854" spans="6:7" x14ac:dyDescent="0.3">
      <c r="F854"/>
      <c r="G854"/>
    </row>
    <row r="855" spans="6:7" x14ac:dyDescent="0.3">
      <c r="F855"/>
      <c r="G855"/>
    </row>
    <row r="856" spans="6:7" x14ac:dyDescent="0.3">
      <c r="F856"/>
      <c r="G856"/>
    </row>
    <row r="857" spans="6:7" x14ac:dyDescent="0.3">
      <c r="F857"/>
      <c r="G857"/>
    </row>
    <row r="858" spans="6:7" x14ac:dyDescent="0.3">
      <c r="F858"/>
      <c r="G858"/>
    </row>
    <row r="859" spans="6:7" x14ac:dyDescent="0.3">
      <c r="F859"/>
      <c r="G859"/>
    </row>
    <row r="860" spans="6:7" x14ac:dyDescent="0.3">
      <c r="F860"/>
      <c r="G860"/>
    </row>
    <row r="861" spans="6:7" x14ac:dyDescent="0.3">
      <c r="F861"/>
      <c r="G861"/>
    </row>
    <row r="862" spans="6:7" x14ac:dyDescent="0.3">
      <c r="F862"/>
      <c r="G862"/>
    </row>
    <row r="863" spans="6:7" x14ac:dyDescent="0.3">
      <c r="F863"/>
      <c r="G863"/>
    </row>
    <row r="864" spans="6:7" x14ac:dyDescent="0.3">
      <c r="F864"/>
      <c r="G864"/>
    </row>
    <row r="865" spans="6:7" x14ac:dyDescent="0.3">
      <c r="F865"/>
      <c r="G865"/>
    </row>
    <row r="866" spans="6:7" x14ac:dyDescent="0.3">
      <c r="F866"/>
      <c r="G866"/>
    </row>
    <row r="867" spans="6:7" x14ac:dyDescent="0.3">
      <c r="F867"/>
      <c r="G867"/>
    </row>
    <row r="868" spans="6:7" x14ac:dyDescent="0.3">
      <c r="F868"/>
      <c r="G868"/>
    </row>
    <row r="869" spans="6:7" x14ac:dyDescent="0.3">
      <c r="F869"/>
      <c r="G869"/>
    </row>
    <row r="870" spans="6:7" x14ac:dyDescent="0.3">
      <c r="F870"/>
      <c r="G870"/>
    </row>
    <row r="871" spans="6:7" x14ac:dyDescent="0.3">
      <c r="F871"/>
      <c r="G871"/>
    </row>
    <row r="872" spans="6:7" x14ac:dyDescent="0.3">
      <c r="F872"/>
      <c r="G872"/>
    </row>
    <row r="873" spans="6:7" x14ac:dyDescent="0.3">
      <c r="F873"/>
      <c r="G873"/>
    </row>
    <row r="874" spans="6:7" x14ac:dyDescent="0.3">
      <c r="F874"/>
      <c r="G874"/>
    </row>
    <row r="875" spans="6:7" x14ac:dyDescent="0.3">
      <c r="F875"/>
      <c r="G875"/>
    </row>
    <row r="876" spans="6:7" x14ac:dyDescent="0.3">
      <c r="F876"/>
      <c r="G876"/>
    </row>
    <row r="877" spans="6:7" x14ac:dyDescent="0.3">
      <c r="F877"/>
      <c r="G877"/>
    </row>
    <row r="878" spans="6:7" x14ac:dyDescent="0.3">
      <c r="F878"/>
      <c r="G878"/>
    </row>
    <row r="879" spans="6:7" x14ac:dyDescent="0.3">
      <c r="F879"/>
      <c r="G879"/>
    </row>
    <row r="880" spans="6:7" x14ac:dyDescent="0.3">
      <c r="F880"/>
      <c r="G880"/>
    </row>
    <row r="881" spans="6:7" x14ac:dyDescent="0.3">
      <c r="F881"/>
      <c r="G881"/>
    </row>
    <row r="882" spans="6:7" x14ac:dyDescent="0.3">
      <c r="F882"/>
      <c r="G882"/>
    </row>
    <row r="883" spans="6:7" x14ac:dyDescent="0.3">
      <c r="F883"/>
      <c r="G883"/>
    </row>
    <row r="884" spans="6:7" x14ac:dyDescent="0.3">
      <c r="F884"/>
      <c r="G884"/>
    </row>
    <row r="885" spans="6:7" x14ac:dyDescent="0.3">
      <c r="F885"/>
      <c r="G885"/>
    </row>
    <row r="886" spans="6:7" x14ac:dyDescent="0.3">
      <c r="F886"/>
      <c r="G886"/>
    </row>
    <row r="887" spans="6:7" x14ac:dyDescent="0.3">
      <c r="F887"/>
      <c r="G887"/>
    </row>
    <row r="888" spans="6:7" x14ac:dyDescent="0.3">
      <c r="F888"/>
      <c r="G888"/>
    </row>
    <row r="889" spans="6:7" x14ac:dyDescent="0.3">
      <c r="F889"/>
      <c r="G889"/>
    </row>
    <row r="890" spans="6:7" x14ac:dyDescent="0.3">
      <c r="F890"/>
      <c r="G890"/>
    </row>
    <row r="891" spans="6:7" x14ac:dyDescent="0.3">
      <c r="F891"/>
      <c r="G891"/>
    </row>
    <row r="892" spans="6:7" x14ac:dyDescent="0.3">
      <c r="F892"/>
      <c r="G892"/>
    </row>
    <row r="893" spans="6:7" x14ac:dyDescent="0.3">
      <c r="F893"/>
      <c r="G893"/>
    </row>
    <row r="894" spans="6:7" x14ac:dyDescent="0.3">
      <c r="F894"/>
      <c r="G894"/>
    </row>
    <row r="895" spans="6:7" x14ac:dyDescent="0.3">
      <c r="F895"/>
      <c r="G895"/>
    </row>
    <row r="896" spans="6:7" x14ac:dyDescent="0.3">
      <c r="F896"/>
      <c r="G896"/>
    </row>
    <row r="897" spans="6:7" x14ac:dyDescent="0.3">
      <c r="F897"/>
      <c r="G897"/>
    </row>
    <row r="898" spans="6:7" x14ac:dyDescent="0.3">
      <c r="F898"/>
      <c r="G898"/>
    </row>
    <row r="899" spans="6:7" x14ac:dyDescent="0.3">
      <c r="F899"/>
      <c r="G899"/>
    </row>
    <row r="900" spans="6:7" x14ac:dyDescent="0.3">
      <c r="F900"/>
      <c r="G900"/>
    </row>
    <row r="901" spans="6:7" x14ac:dyDescent="0.3">
      <c r="F901"/>
      <c r="G901"/>
    </row>
    <row r="902" spans="6:7" x14ac:dyDescent="0.3">
      <c r="F902"/>
      <c r="G902"/>
    </row>
    <row r="903" spans="6:7" x14ac:dyDescent="0.3">
      <c r="F903"/>
      <c r="G903"/>
    </row>
    <row r="904" spans="6:7" x14ac:dyDescent="0.3">
      <c r="F904"/>
      <c r="G904"/>
    </row>
    <row r="905" spans="6:7" x14ac:dyDescent="0.3">
      <c r="F905"/>
      <c r="G905"/>
    </row>
    <row r="906" spans="6:7" x14ac:dyDescent="0.3">
      <c r="F906"/>
      <c r="G906"/>
    </row>
    <row r="907" spans="6:7" x14ac:dyDescent="0.3">
      <c r="F907"/>
      <c r="G907"/>
    </row>
    <row r="908" spans="6:7" x14ac:dyDescent="0.3">
      <c r="F908"/>
      <c r="G908"/>
    </row>
    <row r="909" spans="6:7" x14ac:dyDescent="0.3">
      <c r="F909"/>
      <c r="G909"/>
    </row>
    <row r="910" spans="6:7" x14ac:dyDescent="0.3">
      <c r="F910"/>
      <c r="G910"/>
    </row>
    <row r="911" spans="6:7" x14ac:dyDescent="0.3">
      <c r="F911"/>
      <c r="G911"/>
    </row>
    <row r="912" spans="6:7" x14ac:dyDescent="0.3">
      <c r="F912"/>
      <c r="G912"/>
    </row>
    <row r="913" spans="6:7" x14ac:dyDescent="0.3">
      <c r="F913"/>
      <c r="G913"/>
    </row>
    <row r="914" spans="6:7" x14ac:dyDescent="0.3">
      <c r="F914"/>
      <c r="G914"/>
    </row>
    <row r="915" spans="6:7" x14ac:dyDescent="0.3">
      <c r="F915"/>
      <c r="G915"/>
    </row>
    <row r="916" spans="6:7" x14ac:dyDescent="0.3">
      <c r="F916"/>
      <c r="G916"/>
    </row>
    <row r="917" spans="6:7" x14ac:dyDescent="0.3">
      <c r="F917"/>
      <c r="G917"/>
    </row>
    <row r="918" spans="6:7" x14ac:dyDescent="0.3">
      <c r="F918"/>
      <c r="G918"/>
    </row>
    <row r="919" spans="6:7" x14ac:dyDescent="0.3">
      <c r="F919"/>
      <c r="G919"/>
    </row>
    <row r="920" spans="6:7" x14ac:dyDescent="0.3">
      <c r="F920"/>
      <c r="G920"/>
    </row>
    <row r="921" spans="6:7" x14ac:dyDescent="0.3">
      <c r="F921"/>
      <c r="G921"/>
    </row>
    <row r="922" spans="6:7" x14ac:dyDescent="0.3">
      <c r="F922"/>
      <c r="G922"/>
    </row>
    <row r="923" spans="6:7" x14ac:dyDescent="0.3">
      <c r="F923"/>
      <c r="G923"/>
    </row>
    <row r="924" spans="6:7" x14ac:dyDescent="0.3">
      <c r="F924"/>
      <c r="G924"/>
    </row>
    <row r="925" spans="6:7" x14ac:dyDescent="0.3">
      <c r="F925"/>
      <c r="G925"/>
    </row>
    <row r="926" spans="6:7" x14ac:dyDescent="0.3">
      <c r="F926"/>
      <c r="G926"/>
    </row>
    <row r="927" spans="6:7" x14ac:dyDescent="0.3">
      <c r="F927"/>
      <c r="G927"/>
    </row>
    <row r="928" spans="6:7" x14ac:dyDescent="0.3">
      <c r="F928"/>
      <c r="G928"/>
    </row>
    <row r="929" spans="6:7" x14ac:dyDescent="0.3">
      <c r="F929"/>
      <c r="G929"/>
    </row>
    <row r="930" spans="6:7" x14ac:dyDescent="0.3">
      <c r="F930"/>
      <c r="G930"/>
    </row>
    <row r="931" spans="6:7" x14ac:dyDescent="0.3">
      <c r="F931"/>
      <c r="G931"/>
    </row>
    <row r="932" spans="6:7" x14ac:dyDescent="0.3">
      <c r="F932"/>
      <c r="G932"/>
    </row>
    <row r="933" spans="6:7" x14ac:dyDescent="0.3">
      <c r="F933"/>
      <c r="G933"/>
    </row>
    <row r="934" spans="6:7" x14ac:dyDescent="0.3">
      <c r="F934"/>
      <c r="G934"/>
    </row>
    <row r="935" spans="6:7" x14ac:dyDescent="0.3">
      <c r="F935"/>
      <c r="G935"/>
    </row>
    <row r="936" spans="6:7" x14ac:dyDescent="0.3">
      <c r="F936"/>
      <c r="G936"/>
    </row>
    <row r="937" spans="6:7" x14ac:dyDescent="0.3">
      <c r="F937"/>
      <c r="G937"/>
    </row>
    <row r="938" spans="6:7" x14ac:dyDescent="0.3">
      <c r="F938"/>
      <c r="G938"/>
    </row>
    <row r="939" spans="6:7" x14ac:dyDescent="0.3">
      <c r="F939"/>
      <c r="G939"/>
    </row>
    <row r="940" spans="6:7" x14ac:dyDescent="0.3">
      <c r="F940"/>
      <c r="G940"/>
    </row>
    <row r="941" spans="6:7" x14ac:dyDescent="0.3">
      <c r="F941"/>
      <c r="G941"/>
    </row>
    <row r="942" spans="6:7" x14ac:dyDescent="0.3">
      <c r="F942"/>
      <c r="G942"/>
    </row>
    <row r="943" spans="6:7" x14ac:dyDescent="0.3">
      <c r="F943"/>
      <c r="G943"/>
    </row>
    <row r="944" spans="6:7" x14ac:dyDescent="0.3">
      <c r="F944"/>
      <c r="G944"/>
    </row>
    <row r="945" spans="6:7" x14ac:dyDescent="0.3">
      <c r="F945"/>
      <c r="G945"/>
    </row>
    <row r="946" spans="6:7" x14ac:dyDescent="0.3">
      <c r="F946"/>
      <c r="G946"/>
    </row>
    <row r="947" spans="6:7" x14ac:dyDescent="0.3">
      <c r="F947"/>
      <c r="G947"/>
    </row>
    <row r="948" spans="6:7" x14ac:dyDescent="0.3">
      <c r="F948"/>
      <c r="G948"/>
    </row>
    <row r="949" spans="6:7" x14ac:dyDescent="0.3">
      <c r="F949"/>
      <c r="G949"/>
    </row>
    <row r="950" spans="6:7" x14ac:dyDescent="0.3">
      <c r="F950"/>
      <c r="G950"/>
    </row>
    <row r="951" spans="6:7" x14ac:dyDescent="0.3">
      <c r="F951"/>
      <c r="G951"/>
    </row>
    <row r="952" spans="6:7" x14ac:dyDescent="0.3">
      <c r="F952"/>
      <c r="G952"/>
    </row>
    <row r="953" spans="6:7" x14ac:dyDescent="0.3">
      <c r="F953"/>
      <c r="G953"/>
    </row>
    <row r="954" spans="6:7" x14ac:dyDescent="0.3">
      <c r="F954"/>
      <c r="G954"/>
    </row>
    <row r="955" spans="6:7" x14ac:dyDescent="0.3">
      <c r="F955"/>
      <c r="G955"/>
    </row>
    <row r="956" spans="6:7" x14ac:dyDescent="0.3">
      <c r="F956"/>
      <c r="G956"/>
    </row>
    <row r="957" spans="6:7" x14ac:dyDescent="0.3">
      <c r="F957"/>
      <c r="G957"/>
    </row>
    <row r="958" spans="6:7" x14ac:dyDescent="0.3">
      <c r="F958"/>
      <c r="G958"/>
    </row>
    <row r="959" spans="6:7" x14ac:dyDescent="0.3">
      <c r="F959"/>
      <c r="G959"/>
    </row>
    <row r="960" spans="6:7" x14ac:dyDescent="0.3">
      <c r="F960"/>
      <c r="G960"/>
    </row>
    <row r="961" spans="6:7" x14ac:dyDescent="0.3">
      <c r="F961"/>
      <c r="G961"/>
    </row>
    <row r="962" spans="6:7" x14ac:dyDescent="0.3">
      <c r="F962"/>
      <c r="G962"/>
    </row>
    <row r="963" spans="6:7" x14ac:dyDescent="0.3">
      <c r="F963"/>
      <c r="G963"/>
    </row>
    <row r="964" spans="6:7" x14ac:dyDescent="0.3">
      <c r="F964"/>
      <c r="G964"/>
    </row>
    <row r="965" spans="6:7" x14ac:dyDescent="0.3">
      <c r="F965"/>
      <c r="G965"/>
    </row>
    <row r="966" spans="6:7" x14ac:dyDescent="0.3">
      <c r="F966"/>
      <c r="G966"/>
    </row>
    <row r="967" spans="6:7" x14ac:dyDescent="0.3">
      <c r="F967"/>
      <c r="G967"/>
    </row>
    <row r="968" spans="6:7" x14ac:dyDescent="0.3">
      <c r="F968"/>
      <c r="G968"/>
    </row>
    <row r="969" spans="6:7" x14ac:dyDescent="0.3">
      <c r="F969"/>
      <c r="G969"/>
    </row>
    <row r="970" spans="6:7" x14ac:dyDescent="0.3">
      <c r="F970"/>
      <c r="G970"/>
    </row>
    <row r="971" spans="6:7" x14ac:dyDescent="0.3">
      <c r="F971"/>
      <c r="G971"/>
    </row>
    <row r="972" spans="6:7" x14ac:dyDescent="0.3">
      <c r="F972"/>
      <c r="G972"/>
    </row>
    <row r="973" spans="6:7" x14ac:dyDescent="0.3">
      <c r="F973"/>
      <c r="G973"/>
    </row>
    <row r="974" spans="6:7" x14ac:dyDescent="0.3">
      <c r="F974"/>
      <c r="G974"/>
    </row>
    <row r="975" spans="6:7" x14ac:dyDescent="0.3">
      <c r="F975"/>
      <c r="G975"/>
    </row>
    <row r="976" spans="6:7" x14ac:dyDescent="0.3">
      <c r="F976"/>
      <c r="G976"/>
    </row>
    <row r="977" spans="6:7" x14ac:dyDescent="0.3">
      <c r="F977"/>
      <c r="G977"/>
    </row>
    <row r="978" spans="6:7" x14ac:dyDescent="0.3">
      <c r="F978"/>
      <c r="G978"/>
    </row>
    <row r="979" spans="6:7" x14ac:dyDescent="0.3">
      <c r="F979"/>
      <c r="G979"/>
    </row>
    <row r="980" spans="6:7" x14ac:dyDescent="0.3">
      <c r="F980"/>
      <c r="G980"/>
    </row>
    <row r="981" spans="6:7" x14ac:dyDescent="0.3">
      <c r="F981"/>
      <c r="G981"/>
    </row>
    <row r="982" spans="6:7" x14ac:dyDescent="0.3">
      <c r="F982"/>
      <c r="G982"/>
    </row>
    <row r="983" spans="6:7" x14ac:dyDescent="0.3">
      <c r="F983"/>
      <c r="G983"/>
    </row>
    <row r="984" spans="6:7" x14ac:dyDescent="0.3">
      <c r="F984"/>
      <c r="G984"/>
    </row>
    <row r="985" spans="6:7" x14ac:dyDescent="0.3">
      <c r="F985"/>
      <c r="G985"/>
    </row>
    <row r="986" spans="6:7" x14ac:dyDescent="0.3">
      <c r="F986"/>
      <c r="G986"/>
    </row>
    <row r="987" spans="6:7" x14ac:dyDescent="0.3">
      <c r="F987"/>
      <c r="G987"/>
    </row>
    <row r="988" spans="6:7" x14ac:dyDescent="0.3">
      <c r="F988"/>
      <c r="G988"/>
    </row>
    <row r="989" spans="6:7" x14ac:dyDescent="0.3">
      <c r="F989"/>
      <c r="G989"/>
    </row>
    <row r="990" spans="6:7" x14ac:dyDescent="0.3">
      <c r="F990"/>
      <c r="G990"/>
    </row>
    <row r="991" spans="6:7" x14ac:dyDescent="0.3">
      <c r="F991"/>
      <c r="G991"/>
    </row>
    <row r="992" spans="6:7" x14ac:dyDescent="0.3">
      <c r="F992"/>
      <c r="G992"/>
    </row>
    <row r="993" spans="6:7" x14ac:dyDescent="0.3">
      <c r="F993"/>
      <c r="G993"/>
    </row>
    <row r="994" spans="6:7" x14ac:dyDescent="0.3">
      <c r="F994"/>
      <c r="G994"/>
    </row>
    <row r="995" spans="6:7" x14ac:dyDescent="0.3">
      <c r="F995"/>
      <c r="G995"/>
    </row>
    <row r="996" spans="6:7" x14ac:dyDescent="0.3">
      <c r="F996"/>
      <c r="G996"/>
    </row>
    <row r="997" spans="6:7" x14ac:dyDescent="0.3">
      <c r="F997"/>
      <c r="G997"/>
    </row>
    <row r="998" spans="6:7" x14ac:dyDescent="0.3">
      <c r="F998"/>
      <c r="G998"/>
    </row>
    <row r="999" spans="6:7" x14ac:dyDescent="0.3">
      <c r="F999"/>
      <c r="G999"/>
    </row>
    <row r="1000" spans="6:7" x14ac:dyDescent="0.3">
      <c r="F1000"/>
      <c r="G1000"/>
    </row>
    <row r="1001" spans="6:7" x14ac:dyDescent="0.3">
      <c r="F1001"/>
      <c r="G1001"/>
    </row>
    <row r="1002" spans="6:7" x14ac:dyDescent="0.3">
      <c r="F1002"/>
      <c r="G1002"/>
    </row>
    <row r="1003" spans="6:7" x14ac:dyDescent="0.3">
      <c r="F1003"/>
      <c r="G1003"/>
    </row>
    <row r="1004" spans="6:7" x14ac:dyDescent="0.3">
      <c r="F1004"/>
      <c r="G1004"/>
    </row>
    <row r="1005" spans="6:7" x14ac:dyDescent="0.3">
      <c r="F1005"/>
      <c r="G1005"/>
    </row>
    <row r="1006" spans="6:7" x14ac:dyDescent="0.3">
      <c r="F1006"/>
      <c r="G1006"/>
    </row>
    <row r="1007" spans="6:7" x14ac:dyDescent="0.3">
      <c r="F1007"/>
      <c r="G1007"/>
    </row>
    <row r="1008" spans="6:7" x14ac:dyDescent="0.3">
      <c r="F1008"/>
      <c r="G1008"/>
    </row>
    <row r="1009" spans="6:7" x14ac:dyDescent="0.3">
      <c r="F1009"/>
      <c r="G1009"/>
    </row>
    <row r="1010" spans="6:7" x14ac:dyDescent="0.3">
      <c r="F1010"/>
      <c r="G1010"/>
    </row>
    <row r="1011" spans="6:7" x14ac:dyDescent="0.3">
      <c r="F1011"/>
      <c r="G1011"/>
    </row>
    <row r="1012" spans="6:7" x14ac:dyDescent="0.3">
      <c r="F1012"/>
      <c r="G1012"/>
    </row>
    <row r="1013" spans="6:7" x14ac:dyDescent="0.3">
      <c r="F1013"/>
      <c r="G1013"/>
    </row>
    <row r="1014" spans="6:7" x14ac:dyDescent="0.3">
      <c r="F1014"/>
      <c r="G1014"/>
    </row>
    <row r="1015" spans="6:7" x14ac:dyDescent="0.3">
      <c r="F1015"/>
      <c r="G1015"/>
    </row>
    <row r="1016" spans="6:7" x14ac:dyDescent="0.3">
      <c r="F1016"/>
      <c r="G1016"/>
    </row>
    <row r="1017" spans="6:7" x14ac:dyDescent="0.3">
      <c r="F1017"/>
      <c r="G1017"/>
    </row>
    <row r="1018" spans="6:7" x14ac:dyDescent="0.3">
      <c r="F1018"/>
      <c r="G1018"/>
    </row>
    <row r="1019" spans="6:7" x14ac:dyDescent="0.3">
      <c r="F1019"/>
      <c r="G1019"/>
    </row>
    <row r="1020" spans="6:7" x14ac:dyDescent="0.3">
      <c r="F1020"/>
      <c r="G1020"/>
    </row>
    <row r="1021" spans="6:7" x14ac:dyDescent="0.3">
      <c r="F1021"/>
      <c r="G1021"/>
    </row>
    <row r="1022" spans="6:7" x14ac:dyDescent="0.3">
      <c r="F1022"/>
      <c r="G1022"/>
    </row>
  </sheetData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C69D5B-C57C-4B37-B86F-A442E296B6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Emp_Info</vt:lpstr>
      <vt:lpstr>Dep_Info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Mehak .</dc:creator>
  <cp:lastModifiedBy>Mehak .</cp:lastModifiedBy>
  <dcterms:created xsi:type="dcterms:W3CDTF">2025-07-18T05:12:39Z</dcterms:created>
  <dcterms:modified xsi:type="dcterms:W3CDTF">2025-07-18T06:49:26Z</dcterms:modified>
</cp:coreProperties>
</file>